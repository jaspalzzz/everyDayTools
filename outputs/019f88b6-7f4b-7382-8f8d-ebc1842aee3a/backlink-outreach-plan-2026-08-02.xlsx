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d657d90e3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39a46288564206"/>
    <x:sheet xmlns:r="http://schemas.openxmlformats.org/officeDocument/2006/relationships" name="Prospects" sheetId="2" r:id="Rad3ed0f2f9c1475c"/>
    <x:sheet xmlns:r="http://schemas.openxmlformats.org/officeDocument/2006/relationships" name="Outreach Drafts" sheetId="3" r:id="R69476673aec64080"/>
    <x:sheet xmlns:r="http://schemas.openxmlformats.org/officeDocument/2006/relationships" name="Monitoring" sheetId="4" r:id="Raebdcb5f891c475f"/>
    <x:sheet xmlns:r="http://schemas.openxmlformats.org/officeDocument/2006/relationships" name="Asset Brief" sheetId="5" r:id="R46d5622d106847d3"/>
    <x:sheet xmlns:r="http://schemas.openxmlformats.org/officeDocument/2006/relationships" name="Lists &amp; Scoring" sheetId="6" r:id="R3f75ec4155c1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"/>
    <x:numFmt numFmtId="202" formatCode="0.0%"/>
    <x:numFmt numFmtId="203" formatCode="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0F766E"/>
      <x:name val="Carlito"/>
    </x:font>
    <x:font>
      <x:b/>
      <x:sz val="11"/>
      <x:color rgb="FF78350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sz val="11"/>
      <x:color rgb="FF78350F"/>
      <x:name val="Carlito"/>
    </x:font>
    <x:font>
      <x:b/>
      <x:sz val="11"/>
      <x:color rgb="FF0F766E"/>
      <x:name val="Carlito"/>
    </x:font>
    <x:font>
      <x:sz val="11"/>
      <x:color rgb="FFFFFFFF"/>
      <x:name val="Carlito"/>
    </x:font>
    <x:font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14B"/>
      </x:patternFill>
    </x:fill>
    <x:fill>
      <x:patternFill patternType="solid">
        <x:fgColor rgb="FF0F766E"/>
      </x:patternFill>
    </x:fill>
    <x:fill>
      <x:patternFill patternType="solid">
        <x:fgColor rgb="FFE8F3F0"/>
      </x:patternFill>
    </x:fill>
    <x:fill>
      <x:patternFill patternType="solid">
        <x:fgColor rgb="FFFEF3C7"/>
      </x:patternFill>
    </x:fill>
    <x:fill>
      <x:patternFill patternType="solid">
        <x:fgColor rgb="FFF5F7F8"/>
      </x:patternFill>
    </x:fill>
    <x:fill>
      <x:patternFill patternType="solid">
        <x:fgColor rgb="FFFFFBEB"/>
      </x:patternFill>
    </x:fill>
  </x:fills>
  <x:borders count="2">
    <x:border/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/>
    </x:xf>
    <x:xf numFmtId="202" fontId="0" fillId="4" borderId="1" xfId="0" applyNumberFormat="1" applyFont="1" applyFill="1" applyBorder="1" applyAlignment="1">
      <x:alignment vertical="top"/>
    </x:xf>
    <x:xf numFmtId="202" fontId="9" fillId="4" borderId="1" xfId="0" applyNumberFormat="1" applyFont="1" applyFill="1" applyBorder="1" applyAlignment="1">
      <x:alignment vertical="top"/>
    </x:xf>
    <x:xf numFmtId="0" fontId="10" fillId="0" borderId="0" xfId="0" applyNumberFormat="1" applyFont="1" applyFill="1" applyBorder="1"/>
    <x:xf numFmtId="0" fontId="3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27dac76b0497a" /><Relationship Type="http://schemas.openxmlformats.org/officeDocument/2006/relationships/theme" Target="/xl/theme/theme1.xml" Id="Rbf9230b391f24de2" /><Relationship Type="http://schemas.openxmlformats.org/officeDocument/2006/relationships/sharedStrings" Target="/xl/sharedStrings.xml" Id="Rffb7be3bd5284005" /><Relationship Type="http://schemas.openxmlformats.org/officeDocument/2006/relationships/worksheet" Target="/xl/worksheets/sheet1.xml" Id="R7339a46288564206" /><Relationship Type="http://schemas.openxmlformats.org/officeDocument/2006/relationships/worksheet" Target="/xl/worksheets/sheet2.xml" Id="Rad3ed0f2f9c1475c" /><Relationship Type="http://schemas.openxmlformats.org/officeDocument/2006/relationships/worksheet" Target="/xl/worksheets/sheet3.xml" Id="R69476673aec64080" /><Relationship Type="http://schemas.openxmlformats.org/officeDocument/2006/relationships/worksheet" Target="/xl/worksheets/sheet4.xml" Id="Raebdcb5f891c475f" /><Relationship Type="http://schemas.openxmlformats.org/officeDocument/2006/relationships/worksheet" Target="/xl/worksheets/sheet5.xml" Id="R46d5622d106847d3" /><Relationship Type="http://schemas.openxmlformats.org/officeDocument/2006/relationships/worksheet" Target="/xl/worksheets/sheet6.xml" Id="R3f75ec4155c143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1dc2448b334c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95077aadb6a4c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Prospects by segment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Prospects</c:v>
          </c:tx>
          <c:cat>
            <c:strRef>
              <c:f>'Dashboard'!$D$5:$D$12</c:f>
              <c:strCache>
                <c:ptCount val="0"/>
              </c:strCache>
            </c:strRef>
          </c:cat>
          <c:val>
            <c:numRef>
              <c:f>'Dashboard'!$E$5:$E$12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Backlink growth (complete after monthly inputs)</a:t>
            </a:r>
          </a:p>
        </c:rich>
      </c:tx>
    </c:title>
    <c:plotArea>
      <c:lineChart>
        <c:grouping val="standard"/>
        <c:ser>
          <c:idx val="0"/>
          <c:order val="0"/>
          <c:tx>
            <c:v>GSC external links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'Monitoring'!$M$7:$M$18</c:f>
              <c:strCache>
                <c:ptCount val="0"/>
              </c:strCache>
            </c:strRef>
          </c:cat>
          <c:val>
            <c:numRef>
              <c:f>'Monitoring'!$B$7:$B$18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Referring domains</c:v>
          </c:tx>
          <c:spPr>
            <a:solidFill xmlns:a="http://schemas.openxmlformats.org/drawingml/2006/main">
              <a:srgbClr val="EAB308"/>
            </a:solidFill>
          </c:spPr>
          <c:marker>
            <c:symbol val="none"/>
          </c:marker>
          <c:cat>
            <c:strRef>
              <c:f>'Monitoring'!$M$7:$M$18</c:f>
              <c:strCache>
                <c:ptCount val="0"/>
              </c:strCache>
            </c:strRef>
          </c:cat>
          <c:val>
            <c:numRef>
              <c:f>'Monitoring'!$C$7:$C$18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1dc2448b334c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077aadb6a4c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spectsTable" displayName="ProspectsTable" ref="A6:Z41" headerRowCount="1" totalsRowCount="0" totalsRowShown="0">
  <x:tableColumns count="26">
    <x:tableColumn id="1" name="ID"/>
    <x:tableColumn id="2" name="Score"/>
    <x:tableColumn id="3" name="Priority"/>
    <x:tableColumn id="4" name="Segment"/>
    <x:tableColumn id="5" name="Organization"/>
    <x:tableColumn id="6" name="Contact"/>
    <x:tableColumn id="7" name="Exact opportunity page"/>
    <x:tableColumn id="8" name="Opportunity URL"/>
    <x:tableColumn id="9" name="Contact page"/>
    <x:tableColumn id="10" name="Scope"/>
    <x:tableColumn id="11" name="Why relevant"/>
    <x:tableColumn id="12" name="Exact link opportunity"/>
    <x:tableColumn id="13" name="Asset"/>
    <x:tableColumn id="14" name="Personalized opening"/>
    <x:tableColumn id="15" name="Relevance"/>
    <x:tableColumn id="16" name="Authority fit"/>
    <x:tableColumn id="17" name="Linkability"/>
    <x:tableColumn id="18" name="Contactability"/>
    <x:tableColumn id="19" name="Freshness gap"/>
    <x:tableColumn id="20" name="Status"/>
    <x:tableColumn id="21" name="Owner"/>
    <x:tableColumn id="22" name="First contact"/>
    <x:tableColumn id="23" name="Follow-up"/>
    <x:tableColumn id="24" name="Response / link notes"/>
    <x:tableColumn id="25" name="Link URL"/>
    <x:tableColumn id="26" name="Evidence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944a7a51c41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0f959e015444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065c9c29015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4" max="4" width="25" hidden="0" customWidth="1"/>
    <x:col min="5" max="5" width="12" hidden="0" customWidth="1"/>
  </x:cols>
  <x:sheetData>
    <x:row r="1" ht="50" customHeight="1">
      <x:c r="A1" s="4" t="str">
        <x:v>Backlink Outreach Command Center
My Pay Rights • 50-state final-paycheck dataset • prepared 2 August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5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4" ht="34" customHeight="1">
      <x:c r="A4" s="9" t="str">
        <x:v>Pipeline KPI</x:v>
      </x:c>
      <x:c r="B4" s="9" t="str">
        <x:v>Current</x:v>
      </x:c>
      <x:c r="D4" s="9" t="str">
        <x:v>Segment</x:v>
      </x:c>
      <x:c r="E4" s="9" t="str">
        <x:v>Prospects</x:v>
      </x:c>
    </x:row>
    <x:row r="5">
      <x:c r="A5" s="11" t="str">
        <x:v>Verified prospects</x:v>
      </x:c>
      <x:c r="B5" s="14" t="n">
        <x:f>COUNTA(Prospects!A7:A50)</x:f>
        <x:v>35</x:v>
      </x:c>
      <x:c r="D5" s="10" t="str">
        <x:v>Publisher / legal</x:v>
      </x:c>
      <x:c r="E5" s="10" t="n">
        <x:f>COUNTIF(Prospects!D7:D50,D5)</x:f>
        <x:v>3</x:v>
      </x:c>
    </x:row>
    <x:row r="6">
      <x:c r="A6" s="11" t="str">
        <x:v>Priority A</x:v>
      </x:c>
      <x:c r="B6" s="14" t="n">
        <x:f>COUNTIF(Prospects!C7:C50,"A")</x:f>
        <x:v>23</x:v>
      </x:c>
      <x:c r="D6" s="10" t="str">
        <x:v>HR / payroll media</x:v>
      </x:c>
      <x:c r="E6" s="10" t="n">
        <x:f>COUNTIF(Prospects!D7:D50,D6)</x:f>
        <x:v>10</x:v>
      </x:c>
    </x:row>
    <x:row r="7">
      <x:c r="A7" s="11" t="str">
        <x:v>Ready to send</x:v>
      </x:c>
      <x:c r="B7" s="14" t="n">
        <x:f>COUNTIF(Prospects!T7:T50,"Ready")</x:f>
        <x:v>15</x:v>
      </x:c>
      <x:c r="D7" s="10" t="str">
        <x:v>Law firm</x:v>
      </x:c>
      <x:c r="E7" s="10" t="n">
        <x:f>COUNTIF(Prospects!D7:D50,D7)</x:f>
        <x:v>5</x:v>
      </x:c>
    </x:row>
    <x:row r="8">
      <x:c r="A8" s="11" t="str">
        <x:v>Links won</x:v>
      </x:c>
      <x:c r="B8" s="14" t="n">
        <x:f>COUNTIF(Prospects!T7:T50,"Linked")</x:f>
        <x:v>0</x:v>
      </x:c>
      <x:c r="D8" s="10" t="str">
        <x:v>Worker advocacy</x:v>
      </x:c>
      <x:c r="E8" s="10" t="n">
        <x:f>COUNTIF(Prospects!D7:D50,D8)</x:f>
        <x:v>5</x:v>
      </x:c>
    </x:row>
    <x:row r="9">
      <x:c r="D9" s="10" t="str">
        <x:v>Union</x:v>
      </x:c>
      <x:c r="E9" s="10" t="n">
        <x:f>COUNTIF(Prospects!D7:D50,D9)</x:f>
        <x:v>2</x:v>
      </x:c>
    </x:row>
    <x:row r="10">
      <x:c r="D10" s="10" t="str">
        <x:v>University clinic</x:v>
      </x:c>
      <x:c r="E10" s="10" t="n">
        <x:f>COUNTIF(Prospects!D7:D50,D10)</x:f>
        <x:v>4</x:v>
      </x:c>
    </x:row>
    <x:row r="11" ht="34" customHeight="1">
      <x:c r="A11" s="9" t="str">
        <x:v>Recommended sequence</x:v>
      </x:c>
      <x:c r="B11" s="9" t="str">
        <x:v>Action</x:v>
      </x:c>
      <x:c r="D11" s="10" t="str">
        <x:v>Journalist</x:v>
      </x:c>
      <x:c r="E11" s="10" t="n">
        <x:f>COUNTIF(Prospects!D7:D50,D11)</x:f>
        <x:v>5</x:v>
      </x:c>
    </x:row>
    <x:row r="12">
      <x:c r="A12" s="15" t="str">
        <x:v>1. Publish</x:v>
      </x:c>
      <x:c r="B12" s="15" t="str">
        <x:v>Deploy the upgraded research page and permanent CSV.</x:v>
      </x:c>
      <x:c r="D12" s="10" t="str">
        <x:v>Accounting publication</x:v>
      </x:c>
      <x:c r="E12" s="10" t="n">
        <x:f>COUNTIF(Prospects!D7:D50,D12)</x:f>
        <x:v>1</x:v>
      </x:c>
    </x:row>
    <x:row r="13">
      <x:c r="A13" s="15" t="str">
        <x:v>2. Warm start</x:v>
      </x:c>
      <x:c r="B13" s="15" t="str">
        <x:v>Send five Priority A messages, then wait 3 business days.</x:v>
      </x:c>
    </x:row>
    <x:row r="14">
      <x:c r="A14" s="15" t="str">
        <x:v>3. Follow up</x:v>
      </x:c>
      <x:c r="B14" s="15" t="str">
        <x:v>One concise follow-up after 7 days; stop after two touches.</x:v>
      </x:c>
    </x:row>
    <x:row r="15">
      <x:c r="A15" s="15" t="str">
        <x:v>4. Measure</x:v>
      </x:c>
      <x:c r="B15" s="15" t="str">
        <x:v>Log replies, links and referral sessions in Monitoring.</x:v>
      </x:c>
    </x:row>
    <x:row r="16">
      <x:c r="A16" s="15" t="str">
        <x:v>5. Expand</x:v>
      </x:c>
      <x:c r="B16" s="15" t="str">
        <x:v>Create state-specific cuts only when a prospect requests one.</x:v>
      </x:c>
    </x:row>
    <x:row r="18">
      <x:c r="A18" s="19" t="str">
        <x:v>Guardrail: no paid links, link exchanges, mass guest-post pitches, or automated email blasts. Personalize each note to the exact page and offer genuine editorial utility.</x:v>
      </x:c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</x:row>
  </x:sheetData>
  <x:mergeCells>
    <x:mergeCell ref="A1:Q2"/>
    <x:mergeCell ref="A18:Q20"/>
  </x:mergeCells>
  <x:pageMargins left="0.7" right="0.7" top="0.75" bottom="0.75" header="0.3" footer="0.3"/>
  <x:drawing xmlns:r="http://schemas.openxmlformats.org/officeDocument/2006/relationships" r:id="R059944a7a51c41a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9" hidden="0" customWidth="1"/>
    <x:col min="4" max="4" width="20" hidden="0" customWidth="1"/>
    <x:col min="5" max="5" width="24" hidden="0" customWidth="1"/>
    <x:col min="6" max="6" width="28" hidden="0" customWidth="1"/>
    <x:col min="7" max="7" width="38" hidden="0" customWidth="1"/>
    <x:col min="8" max="8" width="48" hidden="0" customWidth="1"/>
    <x:col min="9" max="9" width="42" hidden="0" customWidth="1"/>
    <x:col min="10" max="10" width="14" hidden="0" customWidth="1"/>
    <x:col min="11" max="11" width="42" hidden="0" customWidth="1"/>
    <x:col min="12" max="12" width="46" hidden="0" customWidth="1"/>
    <x:col min="13" max="13" width="20" hidden="0" customWidth="1"/>
    <x:col min="14" max="14" width="50" hidden="0" customWidth="1"/>
    <x:col min="15" max="15" width="10" hidden="0" customWidth="1"/>
    <x:col min="16" max="16" width="11" hidden="0" customWidth="1"/>
    <x:col min="17" max="17" width="11" hidden="0" customWidth="1"/>
    <x:col min="18" max="18" width="13" hidden="0" customWidth="1"/>
    <x:col min="19" max="19" width="12" hidden="0" customWidth="1"/>
    <x:col min="20" max="20" width="16" hidden="0" customWidth="1"/>
    <x:col min="21" max="21" width="13" hidden="0" customWidth="1"/>
    <x:col min="22" max="22" width="13" hidden="0" customWidth="1"/>
    <x:col min="23" max="23" width="13" hidden="0" customWidth="1"/>
    <x:col min="24" max="24" width="38" hidden="0" customWidth="1"/>
    <x:col min="25" max="25" width="38" hidden="0" customWidth="1"/>
    <x:col min="26" max="26" width="14" hidden="0" customWidth="1"/>
  </x:cols>
  <x:sheetData>
    <x:row r="1" ht="50" customHeight="1">
      <x:c r="A1" s="4" t="str">
        <x:v>Ranked Backlink Prospects
Scores are formula-driven; every row identifies an exact content page and an editorially relevant link opportunity.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5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4">
      <x:c r="A4" s="22" t="str">
        <x:v>Evidence checked from public pages on 2 August 2026. Re-verify contact details before sending. Emails and forms are for editorial/resource outreach only.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6" ht="34" customHeight="1">
      <x:c r="A6" s="9" t="str">
        <x:v>ID</x:v>
      </x:c>
      <x:c r="B6" s="9" t="str">
        <x:v>Score</x:v>
      </x:c>
      <x:c r="C6" s="9" t="str">
        <x:v>Priority</x:v>
      </x:c>
      <x:c r="D6" s="9" t="str">
        <x:v>Segment</x:v>
      </x:c>
      <x:c r="E6" s="9" t="str">
        <x:v>Organization</x:v>
      </x:c>
      <x:c r="F6" s="9" t="str">
        <x:v>Contact</x:v>
      </x:c>
      <x:c r="G6" s="9" t="str">
        <x:v>Exact opportunity page</x:v>
      </x:c>
      <x:c r="H6" s="9" t="str">
        <x:v>Opportunity URL</x:v>
      </x:c>
      <x:c r="I6" s="9" t="str">
        <x:v>Contact page</x:v>
      </x:c>
      <x:c r="J6" s="9" t="str">
        <x:v>Scope</x:v>
      </x:c>
      <x:c r="K6" s="9" t="str">
        <x:v>Why relevant</x:v>
      </x:c>
      <x:c r="L6" s="9" t="str">
        <x:v>Exact link opportunity</x:v>
      </x:c>
      <x:c r="M6" s="9" t="str">
        <x:v>Asset</x:v>
      </x:c>
      <x:c r="N6" s="9" t="str">
        <x:v>Personalized opening</x:v>
      </x:c>
      <x:c r="O6" s="9" t="str">
        <x:v>Relevance</x:v>
      </x:c>
      <x:c r="P6" s="9" t="str">
        <x:v>Authority fit</x:v>
      </x:c>
      <x:c r="Q6" s="9" t="str">
        <x:v>Linkability</x:v>
      </x:c>
      <x:c r="R6" s="9" t="str">
        <x:v>Contactability</x:v>
      </x:c>
      <x:c r="S6" s="9" t="str">
        <x:v>Freshness gap</x:v>
      </x:c>
      <x:c r="T6" s="9" t="str">
        <x:v>Status</x:v>
      </x:c>
      <x:c r="U6" s="9" t="str">
        <x:v>Owner</x:v>
      </x:c>
      <x:c r="V6" s="9" t="str">
        <x:v>First contact</x:v>
      </x:c>
      <x:c r="W6" s="9" t="str">
        <x:v>Follow-up</x:v>
      </x:c>
      <x:c r="X6" s="9" t="str">
        <x:v>Response / link notes</x:v>
      </x:c>
      <x:c r="Y6" s="9" t="str">
        <x:v>Link URL</x:v>
      </x:c>
      <x:c r="Z6" s="9" t="str">
        <x:v>Evidence checked</x:v>
      </x:c>
    </x:row>
    <x:row r="7">
      <x:c r="A7" s="23" t="n">
        <x:v>1</x:v>
      </x:c>
      <x:c r="B7" s="25" t="n">
        <x:f>ROUND((O7*0.30+P7*0.20+Q7*0.20+R7*0.15+S7*0.15)*20,0)</x:f>
        <x:v>97</x:v>
      </x:c>
      <x:c r="C7" s="25" t="str">
        <x:f>IF(B7&gt;=80,"A",IF(B7&gt;=65,"B","C"))</x:f>
        <x:v>A</x:v>
      </x:c>
      <x:c r="D7" s="23" t="str">
        <x:v>Publisher / legal</x:v>
      </x:c>
      <x:c r="E7" s="23" t="str">
        <x:v>FindLaw</x:v>
      </x:c>
      <x:c r="F7" s="23" t="str">
        <x:v>Bridget Molitor / Laura Temme, editorial team</x:v>
      </x:c>
      <x:c r="G7" s="23" t="str">
        <x:v>Final Paycheck Laws by State</x:v>
      </x:c>
      <x:c r="H7" s="23" t="str">
        <x:v>https://www.findlaw.com/smallbusiness/employment-law-and-human-resources/final-paycheck-laws-by-state.html</x:v>
      </x:c>
      <x:c r="I7" s="23" t="str">
        <x:v>https://www.findlaw.com/company/contact-us/contacts.html</x:v>
      </x:c>
      <x:c r="J7" s="23" t="str">
        <x:v>US</x:v>
      </x:c>
      <x:c r="K7" s="23" t="str">
        <x:v>A national state-by-state article last updated in December 2024.</x:v>
      </x:c>
      <x:c r="L7" s="23" t="str">
        <x:v>Add the permanent CSV as a downloadable source-linked companion or cite the termination-vs-resignation finding.</x:v>
      </x:c>
      <x:c r="M7" s="23" t="str">
        <x:v>Dataset + CSV</x:v>
      </x:c>
      <x:c r="N7" s="23" t="str">
        <x:v>Your state chart is one of the clearest national references; our source-linked CSV can give readers a reusable companion.</x:v>
      </x:c>
      <x:c r="O7" s="27" t="n">
        <x:v>5</x:v>
      </x:c>
      <x:c r="P7" s="27" t="n">
        <x:v>5</x:v>
      </x:c>
      <x:c r="Q7" s="27" t="n">
        <x:v>5</x:v>
      </x:c>
      <x:c r="R7" s="27" t="n">
        <x:v>4</x:v>
      </x:c>
      <x:c r="S7" s="27" t="n">
        <x:v>5</x:v>
      </x:c>
      <x:c r="T7" s="23" t="str">
        <x:v>Ready</x:v>
      </x:c>
      <x:c r="U7" s="23" t="str"/>
      <x:c r="V7" s="28"/>
      <x:c r="W7" s="28"/>
      <x:c r="X7" s="23" t="str"/>
      <x:c r="Y7" s="23" t="str"/>
      <x:c r="Z7" s="28" t="n">
        <x:v>46236</x:v>
      </x:c>
    </x:row>
    <x:row r="8">
      <x:c r="A8" s="23" t="n">
        <x:v>2</x:v>
      </x:c>
      <x:c r="B8" s="25" t="n">
        <x:f>ROUND((O8*0.30+P8*0.20+Q8*0.20+R8*0.15+S8*0.15)*20,0)</x:f>
        <x:v>94</x:v>
      </x:c>
      <x:c r="C8" s="25" t="str">
        <x:f>IF(B8&gt;=80,"A",IF(B8&gt;=65,"B","C"))</x:f>
        <x:v>A</x:v>
      </x:c>
      <x:c r="D8" s="23" t="str">
        <x:v>Publisher / legal</x:v>
      </x:c>
      <x:c r="E8" s="23" t="str">
        <x:v>Nolo</x:v>
      </x:c>
      <x:c r="F8" s="23" t="str">
        <x:v>Aaron Hotfelder / employment-law editorial desk</x:v>
      </x:c>
      <x:c r="G8" s="23" t="str">
        <x:v>Final Paychecks, Benefits &amp; Paperwork</x:v>
      </x:c>
      <x:c r="H8" s="23" t="str">
        <x:v>https://www.nolo.com/legal-encyclopedia/final-paychecks-benefits-paperwork/all</x:v>
      </x:c>
      <x:c r="I8" s="23" t="str">
        <x:v>https://www.nolo.com/about/press-room</x:v>
      </x:c>
      <x:c r="J8" s="23" t="str">
        <x:v>US</x:v>
      </x:c>
      <x:c r="K8" s="23" t="str">
        <x:v>Nolo maintains worker-facing employment-law resources and a final-pay topic collection.</x:v>
      </x:c>
      <x:c r="L8" s="23" t="str">
        <x:v>Reference the national dataset from the final-pay collection or a future state-law explainer.</x:v>
      </x:c>
      <x:c r="M8" s="23" t="str">
        <x:v>Dataset + chart</x:v>
      </x:c>
      <x:c r="N8" s="23" t="str">
        <x:v>The collection already answers worker questions; the 51-jurisdiction source table adds a national comparison without duplicating Nolo's guidance.</x:v>
      </x:c>
      <x:c r="O8" s="27" t="n">
        <x:v>5</x:v>
      </x:c>
      <x:c r="P8" s="27" t="n">
        <x:v>5</x:v>
      </x:c>
      <x:c r="Q8" s="27" t="n">
        <x:v>5</x:v>
      </x:c>
      <x:c r="R8" s="27" t="n">
        <x:v>4</x:v>
      </x:c>
      <x:c r="S8" s="27" t="n">
        <x:v>4</x:v>
      </x:c>
      <x:c r="T8" s="23" t="str">
        <x:v>Ready</x:v>
      </x:c>
      <x:c r="U8" s="23" t="str"/>
      <x:c r="V8" s="28"/>
      <x:c r="W8" s="28"/>
      <x:c r="X8" s="23" t="str"/>
      <x:c r="Y8" s="23" t="str"/>
      <x:c r="Z8" s="28" t="n">
        <x:v>46236</x:v>
      </x:c>
    </x:row>
    <x:row r="9">
      <x:c r="A9" s="23" t="n">
        <x:v>3</x:v>
      </x:c>
      <x:c r="B9" s="25" t="n">
        <x:f>ROUND((O9*0.30+P9*0.20+Q9*0.20+R9*0.15+S9*0.15)*20,0)</x:f>
        <x:v>91</x:v>
      </x:c>
      <x:c r="C9" s="25" t="str">
        <x:f>IF(B9&gt;=80,"A",IF(B9&gt;=65,"B","C"))</x:f>
        <x:v>A</x:v>
      </x:c>
      <x:c r="D9" s="23" t="str">
        <x:v>Publisher / legal</x:v>
      </x:c>
      <x:c r="E9" s="23" t="str">
        <x:v>LawInfo</x:v>
      </x:c>
      <x:c r="F9" s="23" t="str">
        <x:v>Consumer legal content editors</x:v>
      </x:c>
      <x:c r="G9" s="23" t="str">
        <x:v>Final Paycheck Rules by State</x:v>
      </x:c>
      <x:c r="H9" s="23" t="str">
        <x:v>https://www.lawinfo.com/resources/wages/final-paycheck-rules-by-state.html</x:v>
      </x:c>
      <x:c r="I9" s="23" t="str">
        <x:v>https://www.lawinfo.com/contact.html</x:v>
      </x:c>
      <x:c r="J9" s="23" t="str">
        <x:v>US</x:v>
      </x:c>
      <x:c r="K9" s="23" t="str">
        <x:v>Exact state-by-state final-paycheck table for workers.</x:v>
      </x:c>
      <x:c r="L9" s="23" t="str">
        <x:v>Cite the downloadable CSV beneath the table as a reusable research source.</x:v>
      </x:c>
      <x:c r="M9" s="23" t="str">
        <x:v>Dataset + CSV</x:v>
      </x:c>
      <x:c r="N9" s="23" t="str">
        <x:v>Your table and ours address the same worker question; ours adds a permanent CSV and agency URL in every row.</x:v>
      </x:c>
      <x:c r="O9" s="27" t="n">
        <x:v>5</x:v>
      </x:c>
      <x:c r="P9" s="27" t="n">
        <x:v>5</x:v>
      </x:c>
      <x:c r="Q9" s="27" t="n">
        <x:v>5</x:v>
      </x:c>
      <x:c r="R9" s="27" t="n">
        <x:v>3</x:v>
      </x:c>
      <x:c r="S9" s="27" t="n">
        <x:v>4</x:v>
      </x:c>
      <x:c r="T9" s="23" t="str">
        <x:v>Ready</x:v>
      </x:c>
      <x:c r="U9" s="23" t="str"/>
      <x:c r="V9" s="28"/>
      <x:c r="W9" s="28"/>
      <x:c r="X9" s="23" t="str"/>
      <x:c r="Y9" s="23" t="str"/>
      <x:c r="Z9" s="28" t="n">
        <x:v>46236</x:v>
      </x:c>
    </x:row>
    <x:row r="10">
      <x:c r="A10" s="23" t="n">
        <x:v>4</x:v>
      </x:c>
      <x:c r="B10" s="25" t="n">
        <x:f>ROUND((O10*0.30+P10*0.20+Q10*0.20+R10*0.15+S10*0.15)*20,0)</x:f>
        <x:v>93</x:v>
      </x:c>
      <x:c r="C10" s="25" t="str">
        <x:f>IF(B10&gt;=80,"A",IF(B10&gt;=65,"B","C"))</x:f>
        <x:v>A</x:v>
      </x:c>
      <x:c r="D10" s="23" t="str">
        <x:v>HR / payroll media</x:v>
      </x:c>
      <x:c r="E10" s="23" t="str">
        <x:v>Fit Small Business</x:v>
      </x:c>
      <x:c r="F10" s="23" t="str">
        <x:v>Jennifer Soper / HR editorial team</x:v>
      </x:c>
      <x:c r="G10" s="23" t="str">
        <x:v>Final Paycheck Laws by State: What Employers Should Know</x:v>
      </x:c>
      <x:c r="H10" s="23" t="str">
        <x:v>https://fitsmallbusiness.com/final-paycheck-laws/</x:v>
      </x:c>
      <x:c r="I10" s="23" t="str">
        <x:v>https://fitsmallbusiness.com/contact-us/</x:v>
      </x:c>
      <x:c r="J10" s="23" t="str">
        <x:v>US</x:v>
      </x:c>
      <x:c r="K10" s="23" t="str">
        <x:v>High-intent employer article last updated October 2024.</x:v>
      </x:c>
      <x:c r="L10" s="23" t="str">
        <x:v>Use the 2026 dataset to refresh the table and link readers to the source-linked CSV.</x:v>
      </x:c>
      <x:c r="M10" s="23" t="str">
        <x:v>Dataset + findings</x:v>
      </x:c>
      <x:c r="N10" s="23" t="str">
        <x:v>The article's older update date creates a concrete refresh opportunity; the new dataset supplies official links and reusable analysis.</x:v>
      </x:c>
      <x:c r="O10" s="27" t="n">
        <x:v>5</x:v>
      </x:c>
      <x:c r="P10" s="27" t="n">
        <x:v>4</x:v>
      </x:c>
      <x:c r="Q10" s="27" t="n">
        <x:v>5</x:v>
      </x:c>
      <x:c r="R10" s="27" t="n">
        <x:v>4</x:v>
      </x:c>
      <x:c r="S10" s="27" t="n">
        <x:v>5</x:v>
      </x:c>
      <x:c r="T10" s="23" t="str">
        <x:v>Ready</x:v>
      </x:c>
      <x:c r="U10" s="23" t="str"/>
      <x:c r="V10" s="28"/>
      <x:c r="W10" s="28"/>
      <x:c r="X10" s="23" t="str"/>
      <x:c r="Y10" s="23" t="str"/>
      <x:c r="Z10" s="28" t="n">
        <x:v>46236</x:v>
      </x:c>
    </x:row>
    <x:row r="11">
      <x:c r="A11" s="23" t="n">
        <x:v>5</x:v>
      </x:c>
      <x:c r="B11" s="25" t="n">
        <x:f>ROUND((O11*0.30+P11*0.20+Q11*0.20+R11*0.15+S11*0.15)*20,0)</x:f>
        <x:v>97</x:v>
      </x:c>
      <x:c r="C11" s="25" t="str">
        <x:f>IF(B11&gt;=80,"A",IF(B11&gt;=65,"B","C"))</x:f>
        <x:v>A</x:v>
      </x:c>
      <x:c r="D11" s="23" t="str">
        <x:v>HR / payroll media</x:v>
      </x:c>
      <x:c r="E11" s="23" t="str">
        <x:v>Lattice</x:v>
      </x:c>
      <x:c r="F11" s="23" t="str">
        <x:v>People strategy editorial team</x:v>
      </x:c>
      <x:c r="G11" s="23" t="str">
        <x:v>Last Paycheck Laws by State 2025</x:v>
      </x:c>
      <x:c r="H11" s="23" t="str">
        <x:v>https://lattice.com/articles/last-paycheck-laws-by-state</x:v>
      </x:c>
      <x:c r="I11" s="23" t="str">
        <x:v>https://lattice.com/contact</x:v>
      </x:c>
      <x:c r="J11" s="23" t="str">
        <x:v>US</x:v>
      </x:c>
      <x:c r="K11" s="23" t="str">
        <x:v>The 2025 article says its table was adapted from LawInfo.</x:v>
      </x:c>
      <x:c r="L11" s="23" t="str">
        <x:v>Add a source-linked reference and CSV with a visible record-level verification year beside the adapted table.</x:v>
      </x:c>
      <x:c r="M11" s="23" t="str">
        <x:v>Dataset + CSV</x:v>
      </x:c>
      <x:c r="N11" s="23" t="str">
        <x:v>Because the table is adapted from another publisher, a direct agency-linked compilation could strengthen its sourcing.</x:v>
      </x:c>
      <x:c r="O11" s="27" t="n">
        <x:v>5</x:v>
      </x:c>
      <x:c r="P11" s="27" t="n">
        <x:v>5</x:v>
      </x:c>
      <x:c r="Q11" s="27" t="n">
        <x:v>5</x:v>
      </x:c>
      <x:c r="R11" s="27" t="n">
        <x:v>4</x:v>
      </x:c>
      <x:c r="S11" s="27" t="n">
        <x:v>5</x:v>
      </x:c>
      <x:c r="T11" s="23" t="str">
        <x:v>Ready</x:v>
      </x:c>
      <x:c r="U11" s="23" t="str"/>
      <x:c r="V11" s="28"/>
      <x:c r="W11" s="28"/>
      <x:c r="X11" s="23" t="str"/>
      <x:c r="Y11" s="23" t="str"/>
      <x:c r="Z11" s="28" t="n">
        <x:v>46236</x:v>
      </x:c>
    </x:row>
    <x:row r="12">
      <x:c r="A12" s="23" t="n">
        <x:v>6</x:v>
      </x:c>
      <x:c r="B12" s="25" t="n">
        <x:f>ROUND((O12*0.30+P12*0.20+Q12*0.20+R12*0.15+S12*0.15)*20,0)</x:f>
        <x:v>77</x:v>
      </x:c>
      <x:c r="C12" s="25" t="str">
        <x:f>IF(B12&gt;=80,"A",IF(B12&gt;=65,"B","C"))</x:f>
        <x:v>B</x:v>
      </x:c>
      <x:c r="D12" s="23" t="str">
        <x:v>HR / payroll media</x:v>
      </x:c>
      <x:c r="E12" s="23" t="str">
        <x:v>OnPay</x:v>
      </x:c>
      <x:c r="F12" s="23" t="str">
        <x:v>Editorial / partnerships desk</x:v>
      </x:c>
      <x:c r="G12" s="23" t="str">
        <x:v>2026 State-by-State Final Paycheck Laws and Severance Pay Guide</x:v>
      </x:c>
      <x:c r="H12" s="23" t="str">
        <x:v>https://onpay.com/insights/state-final-paycheck-laws-severance-guide/</x:v>
      </x:c>
      <x:c r="I12" s="23" t="str">
        <x:v>https://onpay.com/contact/</x:v>
      </x:c>
      <x:c r="J12" s="23" t="str">
        <x:v>US</x:v>
      </x:c>
      <x:c r="K12" s="23" t="str">
        <x:v>Current state guide with official links and a payroll audience.</x:v>
      </x:c>
      <x:c r="L12" s="23" t="str">
        <x:v>Cite the separation-type findings as an independent worker-facing comparison.</x:v>
      </x:c>
      <x:c r="M12" s="23" t="str">
        <x:v>Dataset + chart</x:v>
      </x:c>
      <x:c r="N12" s="23" t="str">
        <x:v>Your guide is built for employers; our worker-facing dataset offers an independent visual finding and downloadable format.</x:v>
      </x:c>
      <x:c r="O12" s="27" t="n">
        <x:v>4</x:v>
      </x:c>
      <x:c r="P12" s="27" t="n">
        <x:v>4</x:v>
      </x:c>
      <x:c r="Q12" s="27" t="n">
        <x:v>4</x:v>
      </x:c>
      <x:c r="R12" s="27" t="n">
        <x:v>4</x:v>
      </x:c>
      <x:c r="S12" s="27" t="n">
        <x:v>3</x:v>
      </x:c>
      <x:c r="T12" s="23" t="str">
        <x:v>Not Contacted</x:v>
      </x:c>
      <x:c r="U12" s="23" t="str"/>
      <x:c r="V12" s="28"/>
      <x:c r="W12" s="28"/>
      <x:c r="X12" s="23" t="str"/>
      <x:c r="Y12" s="23" t="str"/>
      <x:c r="Z12" s="28" t="n">
        <x:v>46236</x:v>
      </x:c>
    </x:row>
    <x:row r="13">
      <x:c r="A13" s="23" t="n">
        <x:v>7</x:v>
      </x:c>
      <x:c r="B13" s="25" t="n">
        <x:f>ROUND((O13*0.30+P13*0.20+Q13*0.20+R13*0.15+S13*0.15)*20,0)</x:f>
        <x:v>81</x:v>
      </x:c>
      <x:c r="C13" s="25" t="str">
        <x:f>IF(B13&gt;=80,"A",IF(B13&gt;=65,"B","C"))</x:f>
        <x:v>A</x:v>
      </x:c>
      <x:c r="D13" s="23" t="str">
        <x:v>HR / payroll media</x:v>
      </x:c>
      <x:c r="E13" s="23" t="str">
        <x:v>Paycor</x:v>
      </x:c>
      <x:c r="F13" s="23" t="str">
        <x:v>Katy Bunn / newsroom</x:v>
      </x:c>
      <x:c r="G13" s="23" t="str">
        <x:v>Final Paycheck Laws by State 2026</x:v>
      </x:c>
      <x:c r="H13" s="23" t="str">
        <x:v>https://www.paycor.com/resource-center/articles/final-paycheck-laws-by-state/</x:v>
      </x:c>
      <x:c r="I13" s="23" t="str">
        <x:v>https://www.paycor.com/company/news-press/</x:v>
      </x:c>
      <x:c r="J13" s="23" t="str">
        <x:v>US</x:v>
      </x:c>
      <x:c r="K13" s="23" t="str">
        <x:v>Current 50-state payroll compliance guide.</x:v>
      </x:c>
      <x:c r="L13" s="23" t="str">
        <x:v>Reference the CC BY dataset for readers who need downloadable comparison data.</x:v>
      </x:c>
      <x:c r="M13" s="23" t="str">
        <x:v>Dataset + CSV</x:v>
      </x:c>
      <x:c r="N13" s="23" t="str">
        <x:v>The permanent CSV complements Paycor's employer guidance and can be reused with attribution.</x:v>
      </x:c>
      <x:c r="O13" s="27" t="n">
        <x:v>4</x:v>
      </x:c>
      <x:c r="P13" s="27" t="n">
        <x:v>5</x:v>
      </x:c>
      <x:c r="Q13" s="27" t="n">
        <x:v>4</x:v>
      </x:c>
      <x:c r="R13" s="27" t="n">
        <x:v>4</x:v>
      </x:c>
      <x:c r="S13" s="27" t="n">
        <x:v>3</x:v>
      </x:c>
      <x:c r="T13" s="23" t="str">
        <x:v>Not Contacted</x:v>
      </x:c>
      <x:c r="U13" s="23" t="str"/>
      <x:c r="V13" s="28"/>
      <x:c r="W13" s="28"/>
      <x:c r="X13" s="23" t="str"/>
      <x:c r="Y13" s="23" t="str"/>
      <x:c r="Z13" s="28" t="n">
        <x:v>46236</x:v>
      </x:c>
    </x:row>
    <x:row r="14">
      <x:c r="A14" s="23" t="n">
        <x:v>8</x:v>
      </x:c>
      <x:c r="B14" s="25" t="n">
        <x:f>ROUND((O14*0.30+P14*0.20+Q14*0.20+R14*0.15+S14*0.15)*20,0)</x:f>
        <x:v>78</x:v>
      </x:c>
      <x:c r="C14" s="25" t="str">
        <x:f>IF(B14&gt;=80,"A",IF(B14&gt;=65,"B","C"))</x:f>
        <x:v>B</x:v>
      </x:c>
      <x:c r="D14" s="23" t="str">
        <x:v>HR / payroll media</x:v>
      </x:c>
      <x:c r="E14" s="23" t="str">
        <x:v>Paycom</x:v>
      </x:c>
      <x:c r="F14" s="23" t="str">
        <x:v>Paycom blog contributor / communications</x:v>
      </x:c>
      <x:c r="G14" s="23" t="str">
        <x:v>Final Paycheck Laws by State in 2026</x:v>
      </x:c>
      <x:c r="H14" s="23" t="str">
        <x:v>https://www.paycom.com/resources/blog/final-paycheck-laws-by-state/</x:v>
      </x:c>
      <x:c r="I14" s="23" t="str">
        <x:v>https://www.paycom.com/contact-us/</x:v>
      </x:c>
      <x:c r="J14" s="23" t="str">
        <x:v>US</x:v>
      </x:c>
      <x:c r="K14" s="23" t="str">
        <x:v>Current national table for payroll teams.</x:v>
      </x:c>
      <x:c r="L14" s="23" t="str">
        <x:v>Cite the interactive distribution chart when discussing how widely deadlines vary.</x:v>
      </x:c>
      <x:c r="M14" s="23" t="str">
        <x:v>Dataset + chart</x:v>
      </x:c>
      <x:c r="N14" s="23" t="str">
        <x:v>The article explains variation; our chart quantifies the four deadline bands across 51 jurisdictions.</x:v>
      </x:c>
      <x:c r="O14" s="27" t="n">
        <x:v>4</x:v>
      </x:c>
      <x:c r="P14" s="27" t="n">
        <x:v>5</x:v>
      </x:c>
      <x:c r="Q14" s="27" t="n">
        <x:v>4</x:v>
      </x:c>
      <x:c r="R14" s="27" t="n">
        <x:v>3</x:v>
      </x:c>
      <x:c r="S14" s="27" t="n">
        <x:v>3</x:v>
      </x:c>
      <x:c r="T14" s="23" t="str">
        <x:v>Not Contacted</x:v>
      </x:c>
      <x:c r="U14" s="23" t="str"/>
      <x:c r="V14" s="28"/>
      <x:c r="W14" s="28"/>
      <x:c r="X14" s="23" t="str"/>
      <x:c r="Y14" s="23" t="str"/>
      <x:c r="Z14" s="28" t="n">
        <x:v>46236</x:v>
      </x:c>
    </x:row>
    <x:row r="15">
      <x:c r="A15" s="23" t="n">
        <x:v>9</x:v>
      </x:c>
      <x:c r="B15" s="25" t="n">
        <x:f>ROUND((O15*0.30+P15*0.20+Q15*0.20+R15*0.15+S15*0.15)*20,0)</x:f>
        <x:v>78</x:v>
      </x:c>
      <x:c r="C15" s="25" t="str">
        <x:f>IF(B15&gt;=80,"A",IF(B15&gt;=65,"B","C"))</x:f>
        <x:v>B</x:v>
      </x:c>
      <x:c r="D15" s="23" t="str">
        <x:v>HR / payroll media</x:v>
      </x:c>
      <x:c r="E15" s="23" t="str">
        <x:v>Paylocity</x:v>
      </x:c>
      <x:c r="F15" s="23" t="str">
        <x:v>Compliance &amp; Government Relations editorial team</x:v>
      </x:c>
      <x:c r="G15" s="23" t="str">
        <x:v>Compliance 101 brief: Final paycheck laws</x:v>
      </x:c>
      <x:c r="H15" s="23" t="str">
        <x:v>https://www.paylocity.com/resources/learn/articles/final-paycheck-laws/</x:v>
      </x:c>
      <x:c r="I15" s="23" t="str">
        <x:v>https://www.paylocity.com/contact/</x:v>
      </x:c>
      <x:c r="J15" s="23" t="str">
        <x:v>US</x:v>
      </x:c>
      <x:c r="K15" s="23" t="str">
        <x:v>Current compliance brief with a state table reviewed in January 2026.</x:v>
      </x:c>
      <x:c r="L15" s="23" t="str">
        <x:v>Add the downloadable CC BY CSV as an external research companion.</x:v>
      </x:c>
      <x:c r="M15" s="23" t="str">
        <x:v>Dataset + CSV</x:v>
      </x:c>
      <x:c r="N15" s="23" t="str">
        <x:v>The brief serves HR teams; the CSV gives them a reusable, worker-facing comparison with agency links.</x:v>
      </x:c>
      <x:c r="O15" s="27" t="n">
        <x:v>4</x:v>
      </x:c>
      <x:c r="P15" s="27" t="n">
        <x:v>5</x:v>
      </x:c>
      <x:c r="Q15" s="27" t="n">
        <x:v>4</x:v>
      </x:c>
      <x:c r="R15" s="27" t="n">
        <x:v>3</x:v>
      </x:c>
      <x:c r="S15" s="27" t="n">
        <x:v>3</x:v>
      </x:c>
      <x:c r="T15" s="23" t="str">
        <x:v>Not Contacted</x:v>
      </x:c>
      <x:c r="U15" s="23" t="str"/>
      <x:c r="V15" s="28"/>
      <x:c r="W15" s="28"/>
      <x:c r="X15" s="23" t="str"/>
      <x:c r="Y15" s="23" t="str"/>
      <x:c r="Z15" s="28" t="n">
        <x:v>46236</x:v>
      </x:c>
    </x:row>
    <x:row r="16">
      <x:c r="A16" s="23" t="n">
        <x:v>10</x:v>
      </x:c>
      <x:c r="B16" s="25" t="n">
        <x:f>ROUND((O16*0.30+P16*0.20+Q16*0.20+R16*0.15+S16*0.15)*20,0)</x:f>
        <x:v>74</x:v>
      </x:c>
      <x:c r="C16" s="25" t="str">
        <x:f>IF(B16&gt;=80,"A",IF(B16&gt;=65,"B","C"))</x:f>
        <x:v>B</x:v>
      </x:c>
      <x:c r="D16" s="23" t="str">
        <x:v>HR / payroll media</x:v>
      </x:c>
      <x:c r="E16" s="23" t="str">
        <x:v>Brightmine</x:v>
      </x:c>
      <x:c r="F16" s="23" t="str">
        <x:v>Alice Gilman / compliance editorial team</x:v>
      </x:c>
      <x:c r="G16" s="23" t="str">
        <x:v>Final wage payment requirements by state and municipality</x:v>
      </x:c>
      <x:c r="H16" s="23" t="str">
        <x:v>https://www.brightmine.com/us/resources/hr-compliance/state-compliance/final-wage-payment-requirements-by-state/</x:v>
      </x:c>
      <x:c r="I16" s="23" t="str">
        <x:v>https://www.brightmine.com/us/contact-us/</x:v>
      </x:c>
      <x:c r="J16" s="23" t="str">
        <x:v>US</x:v>
      </x:c>
      <x:c r="K16" s="23" t="str">
        <x:v>Authoritative paid compliance chart with a public overview.</x:v>
      </x:c>
      <x:c r="L16" s="23" t="str">
        <x:v>Link the public overview to the free worker-facing dataset as a complementary resource.</x:v>
      </x:c>
      <x:c r="M16" s="23" t="str">
        <x:v>Dataset + findings</x:v>
      </x:c>
      <x:c r="N16" s="23" t="str">
        <x:v>Brightmine serves compliance professionals while our source table serves workers and reporters, making the audiences complementary.</x:v>
      </x:c>
      <x:c r="O16" s="27" t="n">
        <x:v>4</x:v>
      </x:c>
      <x:c r="P16" s="27" t="n">
        <x:v>5</x:v>
      </x:c>
      <x:c r="Q16" s="27" t="n">
        <x:v>3</x:v>
      </x:c>
      <x:c r="R16" s="27" t="n">
        <x:v>3</x:v>
      </x:c>
      <x:c r="S16" s="27" t="n">
        <x:v>3</x:v>
      </x:c>
      <x:c r="T16" s="23" t="str">
        <x:v>Not Contacted</x:v>
      </x:c>
      <x:c r="U16" s="23" t="str"/>
      <x:c r="V16" s="28"/>
      <x:c r="W16" s="28"/>
      <x:c r="X16" s="23" t="str"/>
      <x:c r="Y16" s="23" t="str"/>
      <x:c r="Z16" s="28" t="n">
        <x:v>46236</x:v>
      </x:c>
    </x:row>
    <x:row r="17">
      <x:c r="A17" s="23" t="n">
        <x:v>11</x:v>
      </x:c>
      <x:c r="B17" s="25" t="n">
        <x:f>ROUND((O17*0.30+P17*0.20+Q17*0.20+R17*0.15+S17*0.15)*20,0)</x:f>
        <x:v>70</x:v>
      </x:c>
      <x:c r="C17" s="25" t="str">
        <x:f>IF(B17&gt;=80,"A",IF(B17&gt;=65,"B","C"))</x:f>
        <x:v>B</x:v>
      </x:c>
      <x:c r="D17" s="23" t="str">
        <x:v>HR / payroll media</x:v>
      </x:c>
      <x:c r="E17" s="23" t="str">
        <x:v>Greenshades</x:v>
      </x:c>
      <x:c r="F17" s="23" t="str">
        <x:v>Lauren DeBisschop / payroll editorial team</x:v>
      </x:c>
      <x:c r="G17" s="23" t="str">
        <x:v>Final paycheck laws by state (2026)</x:v>
      </x:c>
      <x:c r="H17" s="23" t="str">
        <x:v>https://go.greenshades.com/blog/final-paycheck-laws-by-state</x:v>
      </x:c>
      <x:c r="I17" s="23" t="str">
        <x:v>https://www.greenshades.com/contact/</x:v>
      </x:c>
      <x:c r="J17" s="23" t="str">
        <x:v>US</x:v>
      </x:c>
      <x:c r="K17" s="23" t="str">
        <x:v>Current interactive payroll article with primary sources.</x:v>
      </x:c>
      <x:c r="L17" s="23" t="str">
        <x:v>Cite the independent CC BY dataset in the research or further-reading section.</x:v>
      </x:c>
      <x:c r="M17" s="23" t="str">
        <x:v>Dataset + CSV</x:v>
      </x:c>
      <x:c r="N17" s="23" t="str">
        <x:v>Your map focuses on payroll operations; our reusable dataset adds a worker-rights lens and a permanent download.</x:v>
      </x:c>
      <x:c r="O17" s="27" t="n">
        <x:v>4</x:v>
      </x:c>
      <x:c r="P17" s="27" t="n">
        <x:v>4</x:v>
      </x:c>
      <x:c r="Q17" s="27" t="n">
        <x:v>3</x:v>
      </x:c>
      <x:c r="R17" s="27" t="n">
        <x:v>4</x:v>
      </x:c>
      <x:c r="S17" s="27" t="n">
        <x:v>2</x:v>
      </x:c>
      <x:c r="T17" s="23" t="str">
        <x:v>Not Contacted</x:v>
      </x:c>
      <x:c r="U17" s="23" t="str"/>
      <x:c r="V17" s="28"/>
      <x:c r="W17" s="28"/>
      <x:c r="X17" s="23" t="str"/>
      <x:c r="Y17" s="23" t="str"/>
      <x:c r="Z17" s="28" t="n">
        <x:v>46236</x:v>
      </x:c>
    </x:row>
    <x:row r="18">
      <x:c r="A18" s="23" t="n">
        <x:v>12</x:v>
      </x:c>
      <x:c r="B18" s="25" t="n">
        <x:f>ROUND((O18*0.30+P18*0.20+Q18*0.20+R18*0.15+S18*0.15)*20,0)</x:f>
        <x:v>78</x:v>
      </x:c>
      <x:c r="C18" s="25" t="str">
        <x:f>IF(B18&gt;=80,"A",IF(B18&gt;=65,"B","C"))</x:f>
        <x:v>B</x:v>
      </x:c>
      <x:c r="D18" s="23" t="str">
        <x:v>HR / payroll media</x:v>
      </x:c>
      <x:c r="E18" s="23" t="str">
        <x:v>Rippling</x:v>
      </x:c>
      <x:c r="F18" s="23" t="str">
        <x:v>Content / communications team</x:v>
      </x:c>
      <x:c r="G18" s="23" t="str">
        <x:v>Final paycheck for terminated employee</x:v>
      </x:c>
      <x:c r="H18" s="23" t="str">
        <x:v>https://www.rippling.com/blog/final-paycheck-for-terminated-employee</x:v>
      </x:c>
      <x:c r="I18" s="23" t="str">
        <x:v>https://www.rippling.com/contact</x:v>
      </x:c>
      <x:c r="J18" s="23" t="str">
        <x:v>US</x:v>
      </x:c>
      <x:c r="K18" s="23" t="str">
        <x:v>Employer offboarding article updated in 2026.</x:v>
      </x:c>
      <x:c r="L18" s="23" t="str">
        <x:v>Link to the 51-jurisdiction table where the article tells readers to check state rules.</x:v>
      </x:c>
      <x:c r="M18" s="23" t="str">
        <x:v>Dataset + table</x:v>
      </x:c>
      <x:c r="N18" s="23" t="str">
        <x:v>The exact moment readers need a state lookup is where the independent table can reduce friction.</x:v>
      </x:c>
      <x:c r="O18" s="27" t="n">
        <x:v>4</x:v>
      </x:c>
      <x:c r="P18" s="27" t="n">
        <x:v>5</x:v>
      </x:c>
      <x:c r="Q18" s="27" t="n">
        <x:v>4</x:v>
      </x:c>
      <x:c r="R18" s="27" t="n">
        <x:v>3</x:v>
      </x:c>
      <x:c r="S18" s="27" t="n">
        <x:v>3</x:v>
      </x:c>
      <x:c r="T18" s="23" t="str">
        <x:v>Not Contacted</x:v>
      </x:c>
      <x:c r="U18" s="23" t="str"/>
      <x:c r="V18" s="28"/>
      <x:c r="W18" s="28"/>
      <x:c r="X18" s="23" t="str"/>
      <x:c r="Y18" s="23" t="str"/>
      <x:c r="Z18" s="28" t="n">
        <x:v>46236</x:v>
      </x:c>
    </x:row>
    <x:row r="19">
      <x:c r="A19" s="23" t="n">
        <x:v>13</x:v>
      </x:c>
      <x:c r="B19" s="25" t="n">
        <x:f>ROUND((O19*0.30+P19*0.20+Q19*0.20+R19*0.15+S19*0.15)*20,0)</x:f>
        <x:v>70</x:v>
      </x:c>
      <x:c r="C19" s="25" t="str">
        <x:f>IF(B19&gt;=80,"A",IF(B19&gt;=65,"B","C"))</x:f>
        <x:v>B</x:v>
      </x:c>
      <x:c r="D19" s="23" t="str">
        <x:v>HR / payroll media</x:v>
      </x:c>
      <x:c r="E19" s="23" t="str">
        <x:v>BenefitsPath</x:v>
      </x:c>
      <x:c r="F19" s="23" t="str">
        <x:v>Editorial team</x:v>
      </x:c>
      <x:c r="G19" s="23" t="str">
        <x:v>Final Paycheck Laws by State: 2026 Guide</x:v>
      </x:c>
      <x:c r="H19" s="23" t="str">
        <x:v>https://www.benefitspath.org/articles/final-paycheck-laws-by-state-2026-guide</x:v>
      </x:c>
      <x:c r="I19" s="23" t="str">
        <x:v>https://www.benefitspath.org/contact</x:v>
      </x:c>
      <x:c r="J19" s="23" t="str">
        <x:v>US</x:v>
      </x:c>
      <x:c r="K19" s="23" t="str">
        <x:v>Worker-facing national guide published in 2026.</x:v>
      </x:c>
      <x:c r="L19" s="23" t="str">
        <x:v>Cite the permanent CSV and official-source table for transparency.</x:v>
      </x:c>
      <x:c r="M19" s="23" t="str">
        <x:v>Dataset + CSV</x:v>
      </x:c>
      <x:c r="N19" s="23" t="str">
        <x:v>The dataset gives readers a downloadable audit trail for the guide's state summaries.</x:v>
      </x:c>
      <x:c r="O19" s="27" t="n">
        <x:v>4</x:v>
      </x:c>
      <x:c r="P19" s="27" t="n">
        <x:v>3</x:v>
      </x:c>
      <x:c r="Q19" s="27" t="n">
        <x:v>4</x:v>
      </x:c>
      <x:c r="R19" s="27" t="n">
        <x:v>3</x:v>
      </x:c>
      <x:c r="S19" s="27" t="n">
        <x:v>3</x:v>
      </x:c>
      <x:c r="T19" s="23" t="str">
        <x:v>Not Contacted</x:v>
      </x:c>
      <x:c r="U19" s="23" t="str"/>
      <x:c r="V19" s="28"/>
      <x:c r="W19" s="28"/>
      <x:c r="X19" s="23" t="str"/>
      <x:c r="Y19" s="23" t="str"/>
      <x:c r="Z19" s="28" t="n">
        <x:v>46236</x:v>
      </x:c>
    </x:row>
    <x:row r="20">
      <x:c r="A20" s="23" t="n">
        <x:v>14</x:v>
      </x:c>
      <x:c r="B20" s="25" t="n">
        <x:f>ROUND((O20*0.30+P20*0.20+Q20*0.20+R20*0.15+S20*0.15)*20,0)</x:f>
        <x:v>73</x:v>
      </x:c>
      <x:c r="C20" s="25" t="str">
        <x:f>IF(B20&gt;=80,"A",IF(B20&gt;=65,"B","C"))</x:f>
        <x:v>B</x:v>
      </x:c>
      <x:c r="D20" s="23" t="str">
        <x:v>Accounting publication</x:v>
      </x:c>
      <x:c r="E20" s="23" t="str">
        <x:v>Hjerpe &amp; Associates CPA</x:v>
      </x:c>
      <x:c r="F20" s="23" t="str">
        <x:v>Client resources / editorial desk</x:v>
      </x:c>
      <x:c r="G20" s="23" t="str">
        <x:v>Final Paycheck Laws by State 2026 PDF</x:v>
      </x:c>
      <x:c r="H20" s="23" t="str">
        <x:v>https://www.hjerpecpa.com/content/client/ee0b9eb1390ca18c8ab166a2216337f0/uploads/2026/Final%20Paycheck%20Laws%20by%20State%202026.pdf</x:v>
      </x:c>
      <x:c r="I20" s="23" t="str">
        <x:v>https://www.hjerpecpa.com/contact</x:v>
      </x:c>
      <x:c r="J20" s="23" t="str">
        <x:v>US</x:v>
      </x:c>
      <x:c r="K20" s="23" t="str">
        <x:v>A static 2026 PDF distributed to accounting clients.</x:v>
      </x:c>
      <x:c r="L20" s="23" t="str">
        <x:v>Add a live source link beside the PDF so readers have an updateable version and CSV.</x:v>
      </x:c>
      <x:c r="M20" s="23" t="str">
        <x:v>Dataset + CSV</x:v>
      </x:c>
      <x:c r="N20" s="23" t="str">
        <x:v>A permanent live dataset solves the PDF's inevitable staleness and gives client readers agency links.</x:v>
      </x:c>
      <x:c r="O20" s="27" t="n">
        <x:v>4</x:v>
      </x:c>
      <x:c r="P20" s="27" t="n">
        <x:v>3</x:v>
      </x:c>
      <x:c r="Q20" s="27" t="n">
        <x:v>4</x:v>
      </x:c>
      <x:c r="R20" s="27" t="n">
        <x:v>3</x:v>
      </x:c>
      <x:c r="S20" s="27" t="n">
        <x:v>4</x:v>
      </x:c>
      <x:c r="T20" s="23" t="str">
        <x:v>Not Contacted</x:v>
      </x:c>
      <x:c r="U20" s="23" t="str"/>
      <x:c r="V20" s="28"/>
      <x:c r="W20" s="28"/>
      <x:c r="X20" s="23" t="str"/>
      <x:c r="Y20" s="23" t="str"/>
      <x:c r="Z20" s="28" t="n">
        <x:v>46236</x:v>
      </x:c>
    </x:row>
    <x:row r="21">
      <x:c r="A21" s="23" t="n">
        <x:v>15</x:v>
      </x:c>
      <x:c r="B21" s="25" t="n">
        <x:f>ROUND((O21*0.30+P21*0.20+Q21*0.20+R21*0.15+S21*0.15)*20,0)</x:f>
        <x:v>86</x:v>
      </x:c>
      <x:c r="C21" s="25" t="str">
        <x:f>IF(B21&gt;=80,"A",IF(B21&gt;=65,"B","C"))</x:f>
        <x:v>A</x:v>
      </x:c>
      <x:c r="D21" s="23" t="str">
        <x:v>Law firm</x:v>
      </x:c>
      <x:c r="E21" s="23" t="str">
        <x:v>Vaught Firm</x:v>
      </x:c>
      <x:c r="F21" s="23" t="str">
        <x:v>A. Vaught, employment attorney</x:v>
      </x:c>
      <x:c r="G21" s="23" t="str">
        <x:v>Final Paycheck and Payroll Laws</x:v>
      </x:c>
      <x:c r="H21" s="23" t="str">
        <x:v>https://txlaborlaw.com/last-paycheck</x:v>
      </x:c>
      <x:c r="I21" s="23" t="str">
        <x:v>https://txlaborlaw.com/last-paycheck</x:v>
      </x:c>
      <x:c r="J21" s="23" t="str">
        <x:v>Texas</x:v>
      </x:c>
      <x:c r="K21" s="23" t="str">
        <x:v>Texas final-pay resource already notes that deadlines vary by state.</x:v>
      </x:c>
      <x:c r="L21" s="23" t="str">
        <x:v>Link 'vary by state' to the national comparison while retaining the firm's Texas analysis.</x:v>
      </x:c>
      <x:c r="M21" s="23" t="str">
        <x:v>Dataset + table</x:v>
      </x:c>
      <x:c r="N21" s="23" t="str">
        <x:v>Your page naturally introduces interstate variation before focusing on Texas—the ideal contextual citation point.</x:v>
      </x:c>
      <x:c r="O21" s="27" t="n">
        <x:v>5</x:v>
      </x:c>
      <x:c r="P21" s="27" t="n">
        <x:v>3</x:v>
      </x:c>
      <x:c r="Q21" s="27" t="n">
        <x:v>5</x:v>
      </x:c>
      <x:c r="R21" s="27" t="n">
        <x:v>5</x:v>
      </x:c>
      <x:c r="S21" s="27" t="n">
        <x:v>3</x:v>
      </x:c>
      <x:c r="T21" s="23" t="str">
        <x:v>Ready</x:v>
      </x:c>
      <x:c r="U21" s="23" t="str"/>
      <x:c r="V21" s="28"/>
      <x:c r="W21" s="28"/>
      <x:c r="X21" s="23" t="str"/>
      <x:c r="Y21" s="23" t="str"/>
      <x:c r="Z21" s="28" t="n">
        <x:v>46236</x:v>
      </x:c>
    </x:row>
    <x:row r="22">
      <x:c r="A22" s="23" t="n">
        <x:v>16</x:v>
      </x:c>
      <x:c r="B22" s="25" t="n">
        <x:f>ROUND((O22*0.30+P22*0.20+Q22*0.20+R22*0.15+S22*0.15)*20,0)</x:f>
        <x:v>74</x:v>
      </x:c>
      <x:c r="C22" s="25" t="str">
        <x:f>IF(B22&gt;=80,"A",IF(B22&gt;=65,"B","C"))</x:f>
        <x:v>B</x:v>
      </x:c>
      <x:c r="D22" s="23" t="str">
        <x:v>Law firm</x:v>
      </x:c>
      <x:c r="E22" s="23" t="str">
        <x:v>Nourmand Law Firm</x:v>
      </x:c>
      <x:c r="F22" s="23" t="str">
        <x:v>Employment-law content team</x:v>
      </x:c>
      <x:c r="G22" s="23" t="str">
        <x:v>California Final Paycheck Law: What You're Owed and When</x:v>
      </x:c>
      <x:c r="H22" s="23" t="str">
        <x:v>https://www.nourmandlawfirm.com/blog/california-final-paycheck-law/</x:v>
      </x:c>
      <x:c r="I22" s="23" t="str">
        <x:v>https://www.nourmandlawfirm.com/contact/</x:v>
      </x:c>
      <x:c r="J22" s="23" t="str">
        <x:v>California</x:v>
      </x:c>
      <x:c r="K22" s="23" t="str">
        <x:v>Current California worker guide published May 2026.</x:v>
      </x:c>
      <x:c r="L22" s="23" t="str">
        <x:v>Add the national comparison as a 'moving or remote work' further-reading resource.</x:v>
      </x:c>
      <x:c r="M22" s="23" t="str">
        <x:v>Dataset + table</x:v>
      </x:c>
      <x:c r="N22" s="23" t="str">
        <x:v>California's same-day rule is clearer when contrasted with other states; our chart provides that national context.</x:v>
      </x:c>
      <x:c r="O22" s="27" t="n">
        <x:v>4</x:v>
      </x:c>
      <x:c r="P22" s="27" t="n">
        <x:v>4</x:v>
      </x:c>
      <x:c r="Q22" s="27" t="n">
        <x:v>4</x:v>
      </x:c>
      <x:c r="R22" s="27" t="n">
        <x:v>4</x:v>
      </x:c>
      <x:c r="S22" s="27" t="n">
        <x:v>2</x:v>
      </x:c>
      <x:c r="T22" s="23" t="str">
        <x:v>Not Contacted</x:v>
      </x:c>
      <x:c r="U22" s="23" t="str"/>
      <x:c r="V22" s="28"/>
      <x:c r="W22" s="28"/>
      <x:c r="X22" s="23" t="str"/>
      <x:c r="Y22" s="23" t="str"/>
      <x:c r="Z22" s="28" t="n">
        <x:v>46236</x:v>
      </x:c>
    </x:row>
    <x:row r="23">
      <x:c r="A23" s="23" t="n">
        <x:v>17</x:v>
      </x:c>
      <x:c r="B23" s="25" t="n">
        <x:f>ROUND((O23*0.30+P23*0.20+Q23*0.20+R23*0.15+S23*0.15)*20,0)</x:f>
        <x:v>77</x:v>
      </x:c>
      <x:c r="C23" s="25" t="str">
        <x:f>IF(B23&gt;=80,"A",IF(B23&gt;=65,"B","C"))</x:f>
        <x:v>B</x:v>
      </x:c>
      <x:c r="D23" s="23" t="str">
        <x:v>Law firm</x:v>
      </x:c>
      <x:c r="E23" s="23" t="str">
        <x:v>Gordon Law Group</x:v>
      </x:c>
      <x:c r="F23" s="23" t="str">
        <x:v>Employment-law editorial team</x:v>
      </x:c>
      <x:c r="G23" s="23" t="str">
        <x:v>Timing of Payments and the Final Paycheck</x:v>
      </x:c>
      <x:c r="H23" s="23" t="str">
        <x:v>https://www.gordonllp.com/employment-law/unpaid-wages-overtime/timing-of-payments/</x:v>
      </x:c>
      <x:c r="I23" s="23" t="str">
        <x:v>https://www.gordonllp.com/contact-us/</x:v>
      </x:c>
      <x:c r="J23" s="23" t="str">
        <x:v>Massachusetts</x:v>
      </x:c>
      <x:c r="K23" s="23" t="str">
        <x:v>Massachusetts unpaid-wage page focused on final-pay timing.</x:v>
      </x:c>
      <x:c r="L23" s="23" t="str">
        <x:v>Use the national chart to contextualize Massachusetts' same-day discharge rule.</x:v>
      </x:c>
      <x:c r="M23" s="23" t="str">
        <x:v>Dataset + chart</x:v>
      </x:c>
      <x:c r="N23" s="23" t="str">
        <x:v>The distribution chart shows how unusual Massachusetts' timing is without replacing the firm's state-specific legal analysis.</x:v>
      </x:c>
      <x:c r="O23" s="27" t="n">
        <x:v>4</x:v>
      </x:c>
      <x:c r="P23" s="27" t="n">
        <x:v>4</x:v>
      </x:c>
      <x:c r="Q23" s="27" t="n">
        <x:v>4</x:v>
      </x:c>
      <x:c r="R23" s="27" t="n">
        <x:v>4</x:v>
      </x:c>
      <x:c r="S23" s="27" t="n">
        <x:v>3</x:v>
      </x:c>
      <x:c r="T23" s="23" t="str">
        <x:v>Ready</x:v>
      </x:c>
      <x:c r="U23" s="23" t="str"/>
      <x:c r="V23" s="28"/>
      <x:c r="W23" s="28"/>
      <x:c r="X23" s="23" t="str"/>
      <x:c r="Y23" s="23" t="str"/>
      <x:c r="Z23" s="28" t="n">
        <x:v>46236</x:v>
      </x:c>
    </x:row>
    <x:row r="24">
      <x:c r="A24" s="23" t="n">
        <x:v>18</x:v>
      </x:c>
      <x:c r="B24" s="25" t="n">
        <x:f>ROUND((O24*0.30+P24*0.20+Q24*0.20+R24*0.15+S24*0.15)*20,0)</x:f>
        <x:v>77</x:v>
      </x:c>
      <x:c r="C24" s="25" t="str">
        <x:f>IF(B24&gt;=80,"A",IF(B24&gt;=65,"B","C"))</x:f>
        <x:v>B</x:v>
      </x:c>
      <x:c r="D24" s="23" t="str">
        <x:v>Law firm</x:v>
      </x:c>
      <x:c r="E24" s="23" t="str">
        <x:v>Keches Law Group</x:v>
      </x:c>
      <x:c r="F24" s="23" t="str">
        <x:v>Employment-law practice team</x:v>
      </x:c>
      <x:c r="G24" s="23" t="str">
        <x:v>Final Paycheck</x:v>
      </x:c>
      <x:c r="H24" s="23" t="str">
        <x:v>https://kecheslaw.com/practice-areas/employment-law/final-paycheck/</x:v>
      </x:c>
      <x:c r="I24" s="23" t="str">
        <x:v>https://kecheslaw.com/contact/</x:v>
      </x:c>
      <x:c r="J24" s="23" t="str">
        <x:v>Massachusetts</x:v>
      </x:c>
      <x:c r="K24" s="23" t="str">
        <x:v>Exact Massachusetts final-paycheck practice resource.</x:v>
      </x:c>
      <x:c r="L24" s="23" t="str">
        <x:v>Add a comparison link for workers whose employer or work location crosses state lines.</x:v>
      </x:c>
      <x:c r="M24" s="23" t="str">
        <x:v>Dataset + table</x:v>
      </x:c>
      <x:c r="N24" s="23" t="str">
        <x:v>Cross-state workers need a neutral lookup before applying Massachusetts rules; the dataset supplies that context.</x:v>
      </x:c>
      <x:c r="O24" s="27" t="n">
        <x:v>4</x:v>
      </x:c>
      <x:c r="P24" s="27" t="n">
        <x:v>4</x:v>
      </x:c>
      <x:c r="Q24" s="27" t="n">
        <x:v>4</x:v>
      </x:c>
      <x:c r="R24" s="27" t="n">
        <x:v>4</x:v>
      </x:c>
      <x:c r="S24" s="27" t="n">
        <x:v>3</x:v>
      </x:c>
      <x:c r="T24" s="23" t="str">
        <x:v>Not Contacted</x:v>
      </x:c>
      <x:c r="U24" s="23" t="str"/>
      <x:c r="V24" s="28"/>
      <x:c r="W24" s="28"/>
      <x:c r="X24" s="23" t="str"/>
      <x:c r="Y24" s="23" t="str"/>
      <x:c r="Z24" s="28" t="n">
        <x:v>46236</x:v>
      </x:c>
    </x:row>
    <x:row r="25">
      <x:c r="A25" s="23" t="n">
        <x:v>19</x:v>
      </x:c>
      <x:c r="B25" s="25" t="n">
        <x:f>ROUND((O25*0.30+P25*0.20+Q25*0.20+R25*0.15+S25*0.15)*20,0)</x:f>
        <x:v>77</x:v>
      </x:c>
      <x:c r="C25" s="25" t="str">
        <x:f>IF(B25&gt;=80,"A",IF(B25&gt;=65,"B","C"))</x:f>
        <x:v>B</x:v>
      </x:c>
      <x:c r="D25" s="23" t="str">
        <x:v>Law firm</x:v>
      </x:c>
      <x:c r="E25" s="23" t="str">
        <x:v>Brock &amp; Gonzales</x:v>
      </x:c>
      <x:c r="F25" s="23" t="str">
        <x:v>Wage-and-hour practice team</x:v>
      </x:c>
      <x:c r="G25" s="23" t="str">
        <x:v>Failure to Timely Pay Wages</x:v>
      </x:c>
      <x:c r="H25" s="23" t="str">
        <x:v>https://www.brockgonzales.com/class-actions/failure-to-timely-pay-wages/</x:v>
      </x:c>
      <x:c r="I25" s="23" t="str">
        <x:v>https://www.brockgonzales.com/contact/</x:v>
      </x:c>
      <x:c r="J25" s="23" t="str">
        <x:v>California</x:v>
      </x:c>
      <x:c r="K25" s="23" t="str">
        <x:v>California page covers final wages and waiting-time rules.</x:v>
      </x:c>
      <x:c r="L25" s="23" t="str">
        <x:v>Link to the national dataset in a comparative resources section.</x:v>
      </x:c>
      <x:c r="M25" s="23" t="str">
        <x:v>Dataset + table</x:v>
      </x:c>
      <x:c r="N25" s="23" t="str">
        <x:v>A national comparison is useful for remote and relocated employees while the firm keeps the legal discussion California-specific.</x:v>
      </x:c>
      <x:c r="O25" s="27" t="n">
        <x:v>4</x:v>
      </x:c>
      <x:c r="P25" s="27" t="n">
        <x:v>4</x:v>
      </x:c>
      <x:c r="Q25" s="27" t="n">
        <x:v>4</x:v>
      </x:c>
      <x:c r="R25" s="27" t="n">
        <x:v>4</x:v>
      </x:c>
      <x:c r="S25" s="27" t="n">
        <x:v>3</x:v>
      </x:c>
      <x:c r="T25" s="23" t="str">
        <x:v>Not Contacted</x:v>
      </x:c>
      <x:c r="U25" s="23" t="str"/>
      <x:c r="V25" s="28"/>
      <x:c r="W25" s="28"/>
      <x:c r="X25" s="23" t="str"/>
      <x:c r="Y25" s="23" t="str"/>
      <x:c r="Z25" s="28" t="n">
        <x:v>46236</x:v>
      </x:c>
    </x:row>
    <x:row r="26">
      <x:c r="A26" s="23" t="n">
        <x:v>20</x:v>
      </x:c>
      <x:c r="B26" s="25" t="n">
        <x:f>ROUND((O26*0.30+P26*0.20+Q26*0.20+R26*0.15+S26*0.15)*20,0)</x:f>
        <x:v>91</x:v>
      </x:c>
      <x:c r="C26" s="25" t="str">
        <x:f>IF(B26&gt;=80,"A",IF(B26&gt;=65,"B","C"))</x:f>
        <x:v>A</x:v>
      </x:c>
      <x:c r="D26" s="23" t="str">
        <x:v>Worker advocacy</x:v>
      </x:c>
      <x:c r="E26" s="23" t="str">
        <x:v>Workplace Fairness</x:v>
      </x:c>
      <x:c r="F26" s="23" t="str">
        <x:v>Wage-and-hour content team</x:v>
      </x:c>
      <x:c r="G26" s="23" t="str">
        <x:v>Unpaid Wages / Wage &amp; Hour Problems</x:v>
      </x:c>
      <x:c r="H26" s="23" t="str">
        <x:v>https://www.workplacefairness.org/payhours/</x:v>
      </x:c>
      <x:c r="I26" s="23" t="str">
        <x:v>https://www.workplacefairness.org/contact-us/</x:v>
      </x:c>
      <x:c r="J26" s="23" t="str">
        <x:v>US</x:v>
      </x:c>
      <x:c r="K26" s="23" t="str">
        <x:v>National worker-rights hub already links a final-paycheck-by-state resource.</x:v>
      </x:c>
      <x:c r="L26" s="23" t="str">
        <x:v>Replace or supplement the current external state guide with the CC BY source-linked dataset.</x:v>
      </x:c>
      <x:c r="M26" s="23" t="str">
        <x:v>Dataset + CSV</x:v>
      </x:c>
      <x:c r="N26" s="23" t="str">
        <x:v>The hub has an exact final-paycheck slot; our resource is free, source-linked, downloadable, and built for workers.</x:v>
      </x:c>
      <x:c r="O26" s="27" t="n">
        <x:v>5</x:v>
      </x:c>
      <x:c r="P26" s="27" t="n">
        <x:v>5</x:v>
      </x:c>
      <x:c r="Q26" s="27" t="n">
        <x:v>5</x:v>
      </x:c>
      <x:c r="R26" s="27" t="n">
        <x:v>3</x:v>
      </x:c>
      <x:c r="S26" s="27" t="n">
        <x:v>4</x:v>
      </x:c>
      <x:c r="T26" s="23" t="str">
        <x:v>Ready</x:v>
      </x:c>
      <x:c r="U26" s="23" t="str"/>
      <x:c r="V26" s="28"/>
      <x:c r="W26" s="28"/>
      <x:c r="X26" s="23" t="str"/>
      <x:c r="Y26" s="23" t="str"/>
      <x:c r="Z26" s="28" t="n">
        <x:v>46236</x:v>
      </x:c>
    </x:row>
    <x:row r="27">
      <x:c r="A27" s="23" t="n">
        <x:v>21</x:v>
      </x:c>
      <x:c r="B27" s="25" t="n">
        <x:f>ROUND((O27*0.30+P27*0.20+Q27*0.20+R27*0.15+S27*0.15)*20,0)</x:f>
        <x:v>90</x:v>
      </x:c>
      <x:c r="C27" s="25" t="str">
        <x:f>IF(B27&gt;=80,"A",IF(B27&gt;=65,"B","C"))</x:f>
        <x:v>A</x:v>
      </x:c>
      <x:c r="D27" s="23" t="str">
        <x:v>Worker advocacy</x:v>
      </x:c>
      <x:c r="E27" s="23" t="str">
        <x:v>Legal Aid at Work</x:v>
      </x:c>
      <x:c r="F27" s="23" t="str">
        <x:v>Wage Protection program</x:v>
      </x:c>
      <x:c r="G27" s="23" t="str">
        <x:v>Your Right to Get Paid in Full When Your Job Ends</x:v>
      </x:c>
      <x:c r="H27" s="23" t="str">
        <x:v>https://legalaidatwork.org/factsheet/your-right-to-get-paid-in-full-when-your-job-ends/</x:v>
      </x:c>
      <x:c r="I27" s="23" t="str">
        <x:v>https://legalaidatwork.org/contact-us/</x:v>
      </x:c>
      <x:c r="J27" s="23" t="str">
        <x:v>California</x:v>
      </x:c>
      <x:c r="K27" s="23" t="str">
        <x:v>Trusted California fact sheet last updated October 2024.</x:v>
      </x:c>
      <x:c r="L27" s="23" t="str">
        <x:v>Add the national comparison for workers who performed work outside California.</x:v>
      </x:c>
      <x:c r="M27" s="23" t="str">
        <x:v>Dataset + table</x:v>
      </x:c>
      <x:c r="N27" s="23" t="str">
        <x:v>The fact sheet is California-specific; one neutral link can route interstate questions without changing its advice.</x:v>
      </x:c>
      <x:c r="O27" s="27" t="n">
        <x:v>5</x:v>
      </x:c>
      <x:c r="P27" s="27" t="n">
        <x:v>5</x:v>
      </x:c>
      <x:c r="Q27" s="27" t="n">
        <x:v>4</x:v>
      </x:c>
      <x:c r="R27" s="27" t="n">
        <x:v>4</x:v>
      </x:c>
      <x:c r="S27" s="27" t="n">
        <x:v>4</x:v>
      </x:c>
      <x:c r="T27" s="23" t="str">
        <x:v>Ready</x:v>
      </x:c>
      <x:c r="U27" s="23" t="str"/>
      <x:c r="V27" s="28"/>
      <x:c r="W27" s="28"/>
      <x:c r="X27" s="23" t="str"/>
      <x:c r="Y27" s="23" t="str"/>
      <x:c r="Z27" s="28" t="n">
        <x:v>46236</x:v>
      </x:c>
    </x:row>
    <x:row r="28">
      <x:c r="A28" s="23" t="n">
        <x:v>22</x:v>
      </x:c>
      <x:c r="B28" s="25" t="n">
        <x:f>ROUND((O28*0.30+P28*0.20+Q28*0.20+R28*0.15+S28*0.15)*20,0)</x:f>
        <x:v>87</x:v>
      </x:c>
      <x:c r="C28" s="25" t="str">
        <x:f>IF(B28&gt;=80,"A",IF(B28&gt;=65,"B","C"))</x:f>
        <x:v>A</x:v>
      </x:c>
      <x:c r="D28" s="23" t="str">
        <x:v>Worker advocacy</x:v>
      </x:c>
      <x:c r="E28" s="23" t="str">
        <x:v>National Employment Law Project</x:v>
      </x:c>
      <x:c r="F28" s="23" t="str">
        <x:v>Emily Orlich / media and research desk</x:v>
      </x:c>
      <x:c r="G28" s="23" t="str">
        <x:v>Enforcing Labor Laws</x:v>
      </x:c>
      <x:c r="H28" s="23" t="str">
        <x:v>https://www.nelp.org/explore-the-issues/enforcing-labor-laws/</x:v>
      </x:c>
      <x:c r="I28" s="23" t="str">
        <x:v>https://www.nelp.org/about-us/contact-us/</x:v>
      </x:c>
      <x:c r="J28" s="23" t="str">
        <x:v>US</x:v>
      </x:c>
      <x:c r="K28" s="23" t="str">
        <x:v>National research and advocacy hub focused on wage theft and enforcement.</x:v>
      </x:c>
      <x:c r="L28" s="23" t="str">
        <x:v>Use the dataset as a state-law timing appendix or share it with worker-center partners.</x:v>
      </x:c>
      <x:c r="M28" s="23" t="str">
        <x:v>Dataset + regional cuts</x:v>
      </x:c>
      <x:c r="N28" s="23" t="str">
        <x:v>The dataset can be sliced by region for enforcement partners and is licensed for adaptation with attribution.</x:v>
      </x:c>
      <x:c r="O28" s="27" t="n">
        <x:v>5</x:v>
      </x:c>
      <x:c r="P28" s="27" t="n">
        <x:v>5</x:v>
      </x:c>
      <x:c r="Q28" s="27" t="n">
        <x:v>4</x:v>
      </x:c>
      <x:c r="R28" s="27" t="n">
        <x:v>4</x:v>
      </x:c>
      <x:c r="S28" s="27" t="n">
        <x:v>3</x:v>
      </x:c>
      <x:c r="T28" s="23" t="str">
        <x:v>Ready</x:v>
      </x:c>
      <x:c r="U28" s="23" t="str"/>
      <x:c r="V28" s="28"/>
      <x:c r="W28" s="28"/>
      <x:c r="X28" s="23" t="str"/>
      <x:c r="Y28" s="23" t="str"/>
      <x:c r="Z28" s="28" t="n">
        <x:v>46236</x:v>
      </x:c>
    </x:row>
    <x:row r="29">
      <x:c r="A29" s="23" t="n">
        <x:v>23</x:v>
      </x:c>
      <x:c r="B29" s="25" t="n">
        <x:f>ROUND((O29*0.30+P29*0.20+Q29*0.20+R29*0.15+S29*0.15)*20,0)</x:f>
        <x:v>80</x:v>
      </x:c>
      <x:c r="C29" s="25" t="str">
        <x:f>IF(B29&gt;=80,"A",IF(B29&gt;=65,"B","C"))</x:f>
        <x:v>A</x:v>
      </x:c>
      <x:c r="D29" s="23" t="str">
        <x:v>Worker advocacy</x:v>
      </x:c>
      <x:c r="E29" s="23" t="str">
        <x:v>Fair Work Center / Working Washington Rights Center</x:v>
      </x:c>
      <x:c r="F29" s="23" t="str">
        <x:v>Worker-rights education team</x:v>
      </x:c>
      <x:c r="G29" s="23" t="str">
        <x:v>Wage Theft / El Robo de Salario</x:v>
      </x:c>
      <x:c r="H29" s="23" t="str">
        <x:v>https://www.fairworkcenter.org/know-your-rights/wage-theft/</x:v>
      </x:c>
      <x:c r="I29" s="23" t="str">
        <x:v>https://www.fairworkcenter.org/</x:v>
      </x:c>
      <x:c r="J29" s="23" t="str">
        <x:v>Washington</x:v>
      </x:c>
      <x:c r="K29" s="23" t="str">
        <x:v>Bilingual worker resource covering withheld paychecks and wage theft.</x:v>
      </x:c>
      <x:c r="L29" s="23" t="str">
        <x:v>Add the Washington row or national lookup as an optional separation-pay resource.</x:v>
      </x:c>
      <x:c r="M29" s="23" t="str">
        <x:v>Dataset + Washington row</x:v>
      </x:c>
      <x:c r="N29" s="23" t="str">
        <x:v>A concise state extract can extend the wage-theft page to final-pay timing without burdening the core bilingual copy.</x:v>
      </x:c>
      <x:c r="O29" s="27" t="n">
        <x:v>4</x:v>
      </x:c>
      <x:c r="P29" s="27" t="n">
        <x:v>4</x:v>
      </x:c>
      <x:c r="Q29" s="27" t="n">
        <x:v>4</x:v>
      </x:c>
      <x:c r="R29" s="27" t="n">
        <x:v>5</x:v>
      </x:c>
      <x:c r="S29" s="27" t="n">
        <x:v>3</x:v>
      </x:c>
      <x:c r="T29" s="23" t="str">
        <x:v>Not Contacted</x:v>
      </x:c>
      <x:c r="U29" s="23" t="str"/>
      <x:c r="V29" s="28"/>
      <x:c r="W29" s="28"/>
      <x:c r="X29" s="23" t="str"/>
      <x:c r="Y29" s="23" t="str"/>
      <x:c r="Z29" s="28" t="n">
        <x:v>46236</x:v>
      </x:c>
    </x:row>
    <x:row r="30">
      <x:c r="A30" s="23" t="n">
        <x:v>24</x:v>
      </x:c>
      <x:c r="B30" s="25" t="n">
        <x:f>ROUND((O30*0.30+P30*0.20+Q30*0.20+R30*0.15+S30*0.15)*20,0)</x:f>
        <x:v>80</x:v>
      </x:c>
      <x:c r="C30" s="25" t="str">
        <x:f>IF(B30&gt;=80,"A",IF(B30&gt;=65,"B","C"))</x:f>
        <x:v>A</x:v>
      </x:c>
      <x:c r="D30" s="23" t="str">
        <x:v>Worker advocacy</x:v>
      </x:c>
      <x:c r="E30" s="23" t="str">
        <x:v>Workers Defense Project</x:v>
      </x:c>
      <x:c r="F30" s="23" t="str">
        <x:v>Communications / policy team</x:v>
      </x:c>
      <x:c r="G30" s="23" t="str">
        <x:v>Building Austin, Building Injustice</x:v>
      </x:c>
      <x:c r="H30" s="23" t="str">
        <x:v>https://workersdefense.org/wp-content/uploads/2023/01/Building-Austin-Building-Injustice.pdf</x:v>
      </x:c>
      <x:c r="I30" s="23" t="str">
        <x:v>https://workersdefense.org/contact/</x:v>
      </x:c>
      <x:c r="J30" s="23" t="str">
        <x:v>Texas</x:v>
      </x:c>
      <x:c r="K30" s="23" t="str">
        <x:v>Texas worker center with published wage-theft research.</x:v>
      </x:c>
      <x:c r="L30" s="23" t="str">
        <x:v>Offer a Texas-specific data card or regional cut for future wage-theft resources.</x:v>
      </x:c>
      <x:c r="M30" s="23" t="str">
        <x:v>Custom Texas cut</x:v>
      </x:c>
      <x:c r="N30" s="23" t="str">
        <x:v>A cited Texas extract can support worker education and media work around final wages after separation.</x:v>
      </x:c>
      <x:c r="O30" s="27" t="n">
        <x:v>4</x:v>
      </x:c>
      <x:c r="P30" s="27" t="n">
        <x:v>4</x:v>
      </x:c>
      <x:c r="Q30" s="27" t="n">
        <x:v>4</x:v>
      </x:c>
      <x:c r="R30" s="27" t="n">
        <x:v>4</x:v>
      </x:c>
      <x:c r="S30" s="27" t="n">
        <x:v>4</x:v>
      </x:c>
      <x:c r="T30" s="23" t="str">
        <x:v>Not Contacted</x:v>
      </x:c>
      <x:c r="U30" s="23" t="str"/>
      <x:c r="V30" s="28"/>
      <x:c r="W30" s="28"/>
      <x:c r="X30" s="23" t="str"/>
      <x:c r="Y30" s="23" t="str"/>
      <x:c r="Z30" s="28" t="n">
        <x:v>46236</x:v>
      </x:c>
    </x:row>
    <x:row r="31">
      <x:c r="A31" s="23" t="n">
        <x:v>25</x:v>
      </x:c>
      <x:c r="B31" s="25" t="n">
        <x:f>ROUND((O31*0.30+P31*0.20+Q31*0.20+R31*0.15+S31*0.15)*20,0)</x:f>
        <x:v>97</x:v>
      </x:c>
      <x:c r="C31" s="25" t="str">
        <x:f>IF(B31&gt;=80,"A",IF(B31&gt;=65,"B","C"))</x:f>
        <x:v>A</x:v>
      </x:c>
      <x:c r="D31" s="23" t="str">
        <x:v>Union</x:v>
      </x:c>
      <x:c r="E31" s="23" t="str">
        <x:v>AFL-CIO</x:v>
      </x:c>
      <x:c r="F31" s="23" t="str">
        <x:v>Press office / worker-rights editors</x:v>
      </x:c>
      <x:c r="G31" s="23" t="str">
        <x:v>Your Rights at Work</x:v>
      </x:c>
      <x:c r="H31" s="23" t="str">
        <x:v>https://aflcio.org/reports/your-rights-work</x:v>
      </x:c>
      <x:c r="I31" s="23" t="str">
        <x:v>https://aflcio.org/press</x:v>
      </x:c>
      <x:c r="J31" s="23" t="str">
        <x:v>US</x:v>
      </x:c>
      <x:c r="K31" s="23" t="str">
        <x:v>National worker-rights guide includes sections on job loss and wage theft but dates to 2013.</x:v>
      </x:c>
      <x:c r="L31" s="23" t="str">
        <x:v>Add the 2026 final-pay dataset to the terminated/laid-off or wage-theft sections.</x:v>
      </x:c>
      <x:c r="M31" s="23" t="str">
        <x:v>Dataset + CSV</x:v>
      </x:c>
      <x:c r="N31" s="23" t="str">
        <x:v>The guide already routes workers to DOL; our state comparison fills the final-pay timing gap with official agency links.</x:v>
      </x:c>
      <x:c r="O31" s="27" t="n">
        <x:v>5</x:v>
      </x:c>
      <x:c r="P31" s="27" t="n">
        <x:v>5</x:v>
      </x:c>
      <x:c r="Q31" s="27" t="n">
        <x:v>5</x:v>
      </x:c>
      <x:c r="R31" s="27" t="n">
        <x:v>4</x:v>
      </x:c>
      <x:c r="S31" s="27" t="n">
        <x:v>5</x:v>
      </x:c>
      <x:c r="T31" s="23" t="str">
        <x:v>Ready</x:v>
      </x:c>
      <x:c r="U31" s="23" t="str"/>
      <x:c r="V31" s="28"/>
      <x:c r="W31" s="28"/>
      <x:c r="X31" s="23" t="str"/>
      <x:c r="Y31" s="23" t="str"/>
      <x:c r="Z31" s="28" t="n">
        <x:v>46236</x:v>
      </x:c>
    </x:row>
    <x:row r="32">
      <x:c r="A32" s="23" t="n">
        <x:v>26</x:v>
      </x:c>
      <x:c r="B32" s="25" t="n">
        <x:f>ROUND((O32*0.30+P32*0.20+Q32*0.20+R32*0.15+S32*0.15)*20,0)</x:f>
        <x:v>81</x:v>
      </x:c>
      <x:c r="C32" s="25" t="str">
        <x:f>IF(B32&gt;=80,"A",IF(B32&gt;=65,"B","C"))</x:f>
        <x:v>A</x:v>
      </x:c>
      <x:c r="D32" s="23" t="str">
        <x:v>Union</x:v>
      </x:c>
      <x:c r="E32" s="23" t="str">
        <x:v>SEIU</x:v>
      </x:c>
      <x:c r="F32" s="23" t="str">
        <x:v>Press and digital content team</x:v>
      </x:c>
      <x:c r="G32" s="23" t="str">
        <x:v>What would you do if your boss stole $3,500 from you?</x:v>
      </x:c>
      <x:c r="H32" s="23" t="str">
        <x:v>https://www.seiu.org/blog/2025/7/what-would-you-do-if-your-boss-stole-3-500-from-you</x:v>
      </x:c>
      <x:c r="I32" s="23" t="str">
        <x:v>https://seiu.org/press</x:v>
      </x:c>
      <x:c r="J32" s="23" t="str">
        <x:v>US</x:v>
      </x:c>
      <x:c r="K32" s="23" t="str">
        <x:v>National union coverage of wage theft and worker stories.</x:v>
      </x:c>
      <x:c r="L32" s="23" t="str">
        <x:v>Use the dataset as a practical next-step resource in future wage-theft posts.</x:v>
      </x:c>
      <x:c r="M32" s="23" t="str">
        <x:v>Dataset + regional cuts</x:v>
      </x:c>
      <x:c r="N32" s="23" t="str">
        <x:v>The asset turns a broad wage-theft story into a concrete state lookup for departing workers.</x:v>
      </x:c>
      <x:c r="O32" s="27" t="n">
        <x:v>4</x:v>
      </x:c>
      <x:c r="P32" s="27" t="n">
        <x:v>5</x:v>
      </x:c>
      <x:c r="Q32" s="27" t="n">
        <x:v>4</x:v>
      </x:c>
      <x:c r="R32" s="27" t="n">
        <x:v>3</x:v>
      </x:c>
      <x:c r="S32" s="27" t="n">
        <x:v>4</x:v>
      </x:c>
      <x:c r="T32" s="23" t="str">
        <x:v>Not Contacted</x:v>
      </x:c>
      <x:c r="U32" s="23" t="str"/>
      <x:c r="V32" s="28"/>
      <x:c r="W32" s="28"/>
      <x:c r="X32" s="23" t="str"/>
      <x:c r="Y32" s="23" t="str"/>
      <x:c r="Z32" s="28" t="n">
        <x:v>46236</x:v>
      </x:c>
    </x:row>
    <x:row r="33">
      <x:c r="A33" s="23" t="n">
        <x:v>27</x:v>
      </x:c>
      <x:c r="B33" s="25" t="n">
        <x:f>ROUND((O33*0.30+P33*0.20+Q33*0.20+R33*0.15+S33*0.15)*20,0)</x:f>
        <x:v>84</x:v>
      </x:c>
      <x:c r="C33" s="25" t="str">
        <x:f>IF(B33&gt;=80,"A",IF(B33&gt;=65,"B","C"))</x:f>
        <x:v>A</x:v>
      </x:c>
      <x:c r="D33" s="23" t="str">
        <x:v>University clinic</x:v>
      </x:c>
      <x:c r="E33" s="23" t="str">
        <x:v>University of Washington School of Law</x:v>
      </x:c>
      <x:c r="F33" s="23" t="str">
        <x:v>Liz Ford, Workers' Rights Clinic director</x:v>
      </x:c>
      <x:c r="G33" s="23" t="str">
        <x:v>Workers' Rights Clinic</x:v>
      </x:c>
      <x:c r="H33" s="23" t="str">
        <x:v>https://www.law.uw.edu/academics/experiential-learning/clinics/workers-rights</x:v>
      </x:c>
      <x:c r="I33" s="23" t="str">
        <x:v>https://www.law.uw.edu/academics/experiential-learning/clinics/workers-rights</x:v>
      </x:c>
      <x:c r="J33" s="23" t="str">
        <x:v>Washington</x:v>
      </x:c>
      <x:c r="K33" s="23" t="str">
        <x:v>Clinic helps low-wage workers enforce workplace rights and partners with Fair Work Center.</x:v>
      </x:c>
      <x:c r="L33" s="23" t="str">
        <x:v>Include the dataset in student or client resource lists; offer a Washington-only teaching extract.</x:v>
      </x:c>
      <x:c r="M33" s="23" t="str">
        <x:v>Dataset + Washington row</x:v>
      </x:c>
      <x:c r="N33" s="23" t="str">
        <x:v>The clinic's interviews often begin with issue spotting; the state lookup is a compact teaching and referral aid.</x:v>
      </x:c>
      <x:c r="O33" s="27" t="n">
        <x:v>5</x:v>
      </x:c>
      <x:c r="P33" s="27" t="n">
        <x:v>5</x:v>
      </x:c>
      <x:c r="Q33" s="27" t="n">
        <x:v>4</x:v>
      </x:c>
      <x:c r="R33" s="27" t="n">
        <x:v>3</x:v>
      </x:c>
      <x:c r="S33" s="27" t="n">
        <x:v>3</x:v>
      </x:c>
      <x:c r="T33" s="23" t="str">
        <x:v>Ready</x:v>
      </x:c>
      <x:c r="U33" s="23" t="str"/>
      <x:c r="V33" s="28"/>
      <x:c r="W33" s="28"/>
      <x:c r="X33" s="23" t="str"/>
      <x:c r="Y33" s="23" t="str"/>
      <x:c r="Z33" s="28" t="n">
        <x:v>46236</x:v>
      </x:c>
    </x:row>
    <x:row r="34">
      <x:c r="A34" s="23" t="n">
        <x:v>28</x:v>
      </x:c>
      <x:c r="B34" s="25" t="n">
        <x:f>ROUND((O34*0.30+P34*0.20+Q34*0.20+R34*0.15+S34*0.15)*20,0)</x:f>
        <x:v>81</x:v>
      </x:c>
      <x:c r="C34" s="25" t="str">
        <x:f>IF(B34&gt;=80,"A",IF(B34&gt;=65,"B","C"))</x:f>
        <x:v>A</x:v>
      </x:c>
      <x:c r="D34" s="23" t="str">
        <x:v>University clinic</x:v>
      </x:c>
      <x:c r="E34" s="23" t="str">
        <x:v>UCLA School of Law</x:v>
      </x:c>
      <x:c r="F34" s="23" t="str">
        <x:v>Jasleen Kohli / CRS clinic</x:v>
      </x:c>
      <x:c r="G34" s="23" t="str">
        <x:v>Race, Work and Economic Justice Clinic</x:v>
      </x:c>
      <x:c r="H34" s="23" t="str">
        <x:v>https://law.ucla.edu/academics/centers/critical-race-studies/race-work-and-economic-justice-clinic</x:v>
      </x:c>
      <x:c r="I34" s="23" t="str">
        <x:v>https://law.ucla.edu/academics/centers/critical-race-studies/race-work-and-economic-justice-clinic</x:v>
      </x:c>
      <x:c r="J34" s="23" t="str">
        <x:v>California</x:v>
      </x:c>
      <x:c r="K34" s="23" t="str">
        <x:v>Clinic assists low-wage workers with wage theft and employment problems.</x:v>
      </x:c>
      <x:c r="L34" s="23" t="str">
        <x:v>Share as a student reference or link from clinic resource materials.</x:v>
      </x:c>
      <x:c r="M34" s="23" t="str">
        <x:v>Dataset + California row</x:v>
      </x:c>
      <x:c r="N34" s="23" t="str">
        <x:v>The official-source row and reusable CSV can support intake training without presenting personalized legal advice.</x:v>
      </x:c>
      <x:c r="O34" s="27" t="n">
        <x:v>4</x:v>
      </x:c>
      <x:c r="P34" s="27" t="n">
        <x:v>5</x:v>
      </x:c>
      <x:c r="Q34" s="27" t="n">
        <x:v>4</x:v>
      </x:c>
      <x:c r="R34" s="27" t="n">
        <x:v>4</x:v>
      </x:c>
      <x:c r="S34" s="27" t="n">
        <x:v>3</x:v>
      </x:c>
      <x:c r="T34" s="23" t="str">
        <x:v>Not Contacted</x:v>
      </x:c>
      <x:c r="U34" s="23" t="str"/>
      <x:c r="V34" s="28"/>
      <x:c r="W34" s="28"/>
      <x:c r="X34" s="23" t="str"/>
      <x:c r="Y34" s="23" t="str"/>
      <x:c r="Z34" s="28" t="n">
        <x:v>46236</x:v>
      </x:c>
    </x:row>
    <x:row r="35">
      <x:c r="A35" s="23" t="n">
        <x:v>29</x:v>
      </x:c>
      <x:c r="B35" s="25" t="n">
        <x:f>ROUND((O35*0.30+P35*0.20+Q35*0.20+R35*0.15+S35*0.15)*20,0)</x:f>
        <x:v>87</x:v>
      </x:c>
      <x:c r="C35" s="25" t="str">
        <x:f>IF(B35&gt;=80,"A",IF(B35&gt;=65,"B","C"))</x:f>
        <x:v>A</x:v>
      </x:c>
      <x:c r="D35" s="23" t="str">
        <x:v>University clinic</x:v>
      </x:c>
      <x:c r="E35" s="23" t="str">
        <x:v>Santa Clara University School of Law</x:v>
      </x:c>
      <x:c r="F35" s="23" t="str">
        <x:v>KGACLC Workers' Rights Practice</x:v>
      </x:c>
      <x:c r="G35" s="23" t="str">
        <x:v>Workers' Rights</x:v>
      </x:c>
      <x:c r="H35" s="23" t="str">
        <x:v>https://law.scu.edu/centers/kgaclc/our-clients-and-services/workers-rights/</x:v>
      </x:c>
      <x:c r="I35" s="23" t="str">
        <x:v>https://law.scu.edu/centers/kgaclc/our-clients-and-services/advice-clinic---english/</x:v>
      </x:c>
      <x:c r="J35" s="23" t="str">
        <x:v>California</x:v>
      </x:c>
      <x:c r="K35" s="23" t="str">
        <x:v>The clinic explicitly lists unpaid vacation and final-paycheck matters.</x:v>
      </x:c>
      <x:c r="L35" s="23" t="str">
        <x:v>Add the dataset to preventive-education workshop materials or online resources.</x:v>
      </x:c>
      <x:c r="M35" s="23" t="str">
        <x:v>Dataset + California row</x:v>
      </x:c>
      <x:c r="N35" s="23" t="str">
        <x:v>The clinic's final-paycheck focus creates a direct educational use case for a source-linked national table.</x:v>
      </x:c>
      <x:c r="O35" s="27" t="n">
        <x:v>5</x:v>
      </x:c>
      <x:c r="P35" s="27" t="n">
        <x:v>5</x:v>
      </x:c>
      <x:c r="Q35" s="27" t="n">
        <x:v>4</x:v>
      </x:c>
      <x:c r="R35" s="27" t="n">
        <x:v>4</x:v>
      </x:c>
      <x:c r="S35" s="27" t="n">
        <x:v>3</x:v>
      </x:c>
      <x:c r="T35" s="23" t="str">
        <x:v>Not Contacted</x:v>
      </x:c>
      <x:c r="U35" s="23" t="str"/>
      <x:c r="V35" s="28"/>
      <x:c r="W35" s="28"/>
      <x:c r="X35" s="23" t="str"/>
      <x:c r="Y35" s="23" t="str"/>
      <x:c r="Z35" s="28" t="n">
        <x:v>46236</x:v>
      </x:c>
    </x:row>
    <x:row r="36">
      <x:c r="A36" s="23" t="n">
        <x:v>30</x:v>
      </x:c>
      <x:c r="B36" s="25" t="n">
        <x:f>ROUND((O36*0.30+P36*0.20+Q36*0.20+R36*0.15+S36*0.15)*20,0)</x:f>
        <x:v>84</x:v>
      </x:c>
      <x:c r="C36" s="25" t="str">
        <x:f>IF(B36&gt;=80,"A",IF(B36&gt;=65,"B","C"))</x:f>
        <x:v>A</x:v>
      </x:c>
      <x:c r="D36" s="23" t="str">
        <x:v>University clinic</x:v>
      </x:c>
      <x:c r="E36" s="23" t="str">
        <x:v>UC Law San Francisco</x:v>
      </x:c>
      <x:c r="F36" s="23" t="str">
        <x:v>Michael Gaitley / Workers' Rights Clinic</x:v>
      </x:c>
      <x:c r="G36" s="23" t="str">
        <x:v>Workers' Rights Clinic</x:v>
      </x:c>
      <x:c r="H36" s="23" t="str">
        <x:v>https://www.uclawsf.edu/clinical-programs/workers-rights-clinic/</x:v>
      </x:c>
      <x:c r="I36" s="23" t="str">
        <x:v>https://www.uclawsf.edu/people/michael-gaitley/</x:v>
      </x:c>
      <x:c r="J36" s="23" t="str">
        <x:v>California</x:v>
      </x:c>
      <x:c r="K36" s="23" t="str">
        <x:v>Clinic provides free information on unpaid wages and benefits.</x:v>
      </x:c>
      <x:c r="L36" s="23" t="str">
        <x:v>Use the dataset as a student intake reference or external resource.</x:v>
      </x:c>
      <x:c r="M36" s="23" t="str">
        <x:v>Dataset + California row</x:v>
      </x:c>
      <x:c r="N36" s="23" t="str">
        <x:v>The asset offers quick state triage plus agency links for students handling employment-related intake.</x:v>
      </x:c>
      <x:c r="O36" s="27" t="n">
        <x:v>4</x:v>
      </x:c>
      <x:c r="P36" s="27" t="n">
        <x:v>5</x:v>
      </x:c>
      <x:c r="Q36" s="27" t="n">
        <x:v>4</x:v>
      </x:c>
      <x:c r="R36" s="27" t="n">
        <x:v>5</x:v>
      </x:c>
      <x:c r="S36" s="27" t="n">
        <x:v>3</x:v>
      </x:c>
      <x:c r="T36" s="23" t="str">
        <x:v>Not Contacted</x:v>
      </x:c>
      <x:c r="U36" s="23" t="str"/>
      <x:c r="V36" s="28"/>
      <x:c r="W36" s="28"/>
      <x:c r="X36" s="23" t="str"/>
      <x:c r="Y36" s="23" t="str"/>
      <x:c r="Z36" s="28" t="n">
        <x:v>46236</x:v>
      </x:c>
    </x:row>
    <x:row r="37">
      <x:c r="A37" s="23" t="n">
        <x:v>31</x:v>
      </x:c>
      <x:c r="B37" s="25" t="n">
        <x:f>ROUND((O37*0.30+P37*0.20+Q37*0.20+R37*0.15+S37*0.15)*20,0)</x:f>
        <x:v>97</x:v>
      </x:c>
      <x:c r="C37" s="25" t="str">
        <x:f>IF(B37&gt;=80,"A",IF(B37&gt;=65,"B","C"))</x:f>
        <x:v>A</x:v>
      </x:c>
      <x:c r="D37" s="23" t="str">
        <x:v>Journalist</x:v>
      </x:c>
      <x:c r="E37" s="23" t="str">
        <x:v>Axios Austin</x:v>
      </x:c>
      <x:c r="F37" s="23" t="str">
        <x:v>Asher Price</x:v>
      </x:c>
      <x:c r="G37" s="23" t="str">
        <x:v>Texas workers are owed $11 million in back pay</x:v>
      </x:c>
      <x:c r="H37" s="23" t="str">
        <x:v>https://www.axios.com/local/austin/2024/12/11/texas-workers-backpay-claim</x:v>
      </x:c>
      <x:c r="I37" s="23" t="str">
        <x:v>https://www.axios.com/authors/aprice</x:v>
      </x:c>
      <x:c r="J37" s="23" t="str">
        <x:v>Texas</x:v>
      </x:c>
      <x:c r="K37" s="23" t="str">
        <x:v>Reported directly on Texas back pay and worker recovery.</x:v>
      </x:c>
      <x:c r="L37" s="23" t="str">
        <x:v>Offer a Texas-vs-national final-pay angle and a ready data table for a future layoff or wage story.</x:v>
      </x:c>
      <x:c r="M37" s="23" t="str">
        <x:v>Dataset + Texas cut</x:v>
      </x:c>
      <x:c r="N37" s="23" t="str">
        <x:v>Your back-pay story showed where money goes missing; the dataset adds when Texas final pay is due compared with other states.</x:v>
      </x:c>
      <x:c r="O37" s="27" t="n">
        <x:v>5</x:v>
      </x:c>
      <x:c r="P37" s="27" t="n">
        <x:v>5</x:v>
      </x:c>
      <x:c r="Q37" s="27" t="n">
        <x:v>5</x:v>
      </x:c>
      <x:c r="R37" s="27" t="n">
        <x:v>5</x:v>
      </x:c>
      <x:c r="S37" s="27" t="n">
        <x:v>4</x:v>
      </x:c>
      <x:c r="T37" s="23" t="str">
        <x:v>Ready</x:v>
      </x:c>
      <x:c r="U37" s="23" t="str"/>
      <x:c r="V37" s="28"/>
      <x:c r="W37" s="28"/>
      <x:c r="X37" s="23" t="str"/>
      <x:c r="Y37" s="23" t="str"/>
      <x:c r="Z37" s="28" t="n">
        <x:v>46236</x:v>
      </x:c>
    </x:row>
    <x:row r="38">
      <x:c r="A38" s="23" t="n">
        <x:v>32</x:v>
      </x:c>
      <x:c r="B38" s="25" t="n">
        <x:f>ROUND((O38*0.30+P38*0.20+Q38*0.20+R38*0.15+S38*0.15)*20,0)</x:f>
        <x:v>97</x:v>
      </x:c>
      <x:c r="C38" s="25" t="str">
        <x:f>IF(B38&gt;=80,"A",IF(B38&gt;=65,"B","C"))</x:f>
        <x:v>A</x:v>
      </x:c>
      <x:c r="D38" s="23" t="str">
        <x:v>Journalist</x:v>
      </x:c>
      <x:c r="E38" s="23" t="str">
        <x:v>Axios Markets</x:v>
      </x:c>
      <x:c r="F38" s="23" t="str">
        <x:v>Emily Peck</x:v>
      </x:c>
      <x:c r="G38" s="23" t="str">
        <x:v>Hourly workers in California report high levels of wage theft</x:v>
      </x:c>
      <x:c r="H38" s="23" t="str">
        <x:v>https://www.axios.com/2024/05/23/california-wage-theft-hourly-workers</x:v>
      </x:c>
      <x:c r="I38" s="23" t="str">
        <x:v>https://www.axios.com/authors/epeck</x:v>
      </x:c>
      <x:c r="J38" s="23" t="str">
        <x:v>US</x:v>
      </x:c>
      <x:c r="K38" s="23" t="str">
        <x:v>Covers labor markets and has reported on wage theft survey data.</x:v>
      </x:c>
      <x:c r="L38" s="23" t="str">
        <x:v>Pitch a clean chart on how final-pay deadlines fragment across states.</x:v>
      </x:c>
      <x:c r="M38" s="23" t="str">
        <x:v>Dataset + chart</x:v>
      </x:c>
      <x:c r="N38" s="23" t="str">
        <x:v>Your piece noted the lack of good wage-theft data; this is a narrow, transparent dataset suitable for a quick visual.</x:v>
      </x:c>
      <x:c r="O38" s="27" t="n">
        <x:v>5</x:v>
      </x:c>
      <x:c r="P38" s="27" t="n">
        <x:v>5</x:v>
      </x:c>
      <x:c r="Q38" s="27" t="n">
        <x:v>5</x:v>
      </x:c>
      <x:c r="R38" s="27" t="n">
        <x:v>5</x:v>
      </x:c>
      <x:c r="S38" s="27" t="n">
        <x:v>4</x:v>
      </x:c>
      <x:c r="T38" s="23" t="str">
        <x:v>Ready</x:v>
      </x:c>
      <x:c r="U38" s="23" t="str"/>
      <x:c r="V38" s="28"/>
      <x:c r="W38" s="28"/>
      <x:c r="X38" s="23" t="str"/>
      <x:c r="Y38" s="23" t="str"/>
      <x:c r="Z38" s="28" t="n">
        <x:v>46236</x:v>
      </x:c>
    </x:row>
    <x:row r="39">
      <x:c r="A39" s="23" t="n">
        <x:v>33</x:v>
      </x:c>
      <x:c r="B39" s="25" t="n">
        <x:f>ROUND((O39*0.30+P39*0.20+Q39*0.20+R39*0.15+S39*0.15)*20,0)</x:f>
        <x:v>97</x:v>
      </x:c>
      <x:c r="C39" s="25" t="str">
        <x:f>IF(B39&gt;=80,"A",IF(B39&gt;=65,"B","C"))</x:f>
        <x:v>A</x:v>
      </x:c>
      <x:c r="D39" s="23" t="str">
        <x:v>Journalist</x:v>
      </x:c>
      <x:c r="E39" s="23" t="str">
        <x:v>CalMatters</x:v>
      </x:c>
      <x:c r="F39" s="23" t="str">
        <x:v>Jeanne Kuang</x:v>
      </x:c>
      <x:c r="G39" s="23" t="str">
        <x:v>When employers steal wages from workers</x:v>
      </x:c>
      <x:c r="H39" s="23" t="str">
        <x:v>https://calmatters.org/explainers/when-employers-steal-wages-from-workers/</x:v>
      </x:c>
      <x:c r="I39" s="23" t="str">
        <x:v>https://calmatters.org/explainers/when-employers-steal-wages-from-workers/</x:v>
      </x:c>
      <x:c r="J39" s="23" t="str">
        <x:v>California</x:v>
      </x:c>
      <x:c r="K39" s="23" t="str">
        <x:v>Co-authored a data-rich wage-theft explainer and previously covered labor.</x:v>
      </x:c>
      <x:c r="L39" s="23" t="str">
        <x:v>Offer the California row plus the national distribution for follow-up or explainer maintenance.</x:v>
      </x:c>
      <x:c r="M39" s="23" t="str">
        <x:v>Dataset + California comparison</x:v>
      </x:c>
      <x:c r="N39" s="23" t="str">
        <x:v>The explainer already uses interactive data; our national timing comparison adds a precise separation-pay angle.</x:v>
      </x:c>
      <x:c r="O39" s="27" t="n">
        <x:v>5</x:v>
      </x:c>
      <x:c r="P39" s="27" t="n">
        <x:v>5</x:v>
      </x:c>
      <x:c r="Q39" s="27" t="n">
        <x:v>5</x:v>
      </x:c>
      <x:c r="R39" s="27" t="n">
        <x:v>5</x:v>
      </x:c>
      <x:c r="S39" s="27" t="n">
        <x:v>4</x:v>
      </x:c>
      <x:c r="T39" s="23" t="str">
        <x:v>Ready</x:v>
      </x:c>
      <x:c r="U39" s="23" t="str"/>
      <x:c r="V39" s="28"/>
      <x:c r="W39" s="28"/>
      <x:c r="X39" s="23" t="str"/>
      <x:c r="Y39" s="23" t="str"/>
      <x:c r="Z39" s="28" t="n">
        <x:v>46236</x:v>
      </x:c>
    </x:row>
    <x:row r="40">
      <x:c r="A40" s="23" t="n">
        <x:v>34</x:v>
      </x:c>
      <x:c r="B40" s="25" t="n">
        <x:f>ROUND((O40*0.30+P40*0.20+Q40*0.20+R40*0.15+S40*0.15)*20,0)</x:f>
        <x:v>97</x:v>
      </x:c>
      <x:c r="C40" s="25" t="str">
        <x:f>IF(B40&gt;=80,"A",IF(B40&gt;=65,"B","C"))</x:f>
        <x:v>A</x:v>
      </x:c>
      <x:c r="D40" s="23" t="str">
        <x:v>Journalist</x:v>
      </x:c>
      <x:c r="E40" s="23" t="str">
        <x:v>CalMatters</x:v>
      </x:c>
      <x:c r="F40" s="23" t="str">
        <x:v>Erica Yee, data reporter</x:v>
      </x:c>
      <x:c r="G40" s="23" t="str">
        <x:v>When employers steal wages from workers</x:v>
      </x:c>
      <x:c r="H40" s="23" t="str">
        <x:v>https://calmatters.org/explainers/when-employers-steal-wages-from-workers/</x:v>
      </x:c>
      <x:c r="I40" s="23" t="str">
        <x:v>https://calmatters.org/explainers/when-employers-steal-wages-from-workers/</x:v>
      </x:c>
      <x:c r="J40" s="23" t="str">
        <x:v>California</x:v>
      </x:c>
      <x:c r="K40" s="23" t="str">
        <x:v>Data reporter on a detailed wage-claims explainer.</x:v>
      </x:c>
      <x:c r="L40" s="23" t="str">
        <x:v>Offer the CSV and methodology for independent analysis or a state-comparison chart.</x:v>
      </x:c>
      <x:c r="M40" s="23" t="str">
        <x:v>CSV + methodology</x:v>
      </x:c>
      <x:c r="N40" s="23" t="str">
        <x:v>The permanent CSV and explicit classification method are structured for a data reporter to audit and reuse.</x:v>
      </x:c>
      <x:c r="O40" s="27" t="n">
        <x:v>5</x:v>
      </x:c>
      <x:c r="P40" s="27" t="n">
        <x:v>5</x:v>
      </x:c>
      <x:c r="Q40" s="27" t="n">
        <x:v>5</x:v>
      </x:c>
      <x:c r="R40" s="27" t="n">
        <x:v>5</x:v>
      </x:c>
      <x:c r="S40" s="27" t="n">
        <x:v>4</x:v>
      </x:c>
      <x:c r="T40" s="23" t="str">
        <x:v>Not Contacted</x:v>
      </x:c>
      <x:c r="U40" s="23" t="str"/>
      <x:c r="V40" s="28"/>
      <x:c r="W40" s="28"/>
      <x:c r="X40" s="23" t="str"/>
      <x:c r="Y40" s="23" t="str"/>
      <x:c r="Z40" s="28" t="n">
        <x:v>46236</x:v>
      </x:c>
    </x:row>
    <x:row r="41">
      <x:c r="A41" s="23" t="n">
        <x:v>35</x:v>
      </x:c>
      <x:c r="B41" s="25" t="n">
        <x:f>ROUND((O41*0.30+P41*0.20+Q41*0.20+R41*0.15+S41*0.15)*20,0)</x:f>
        <x:v>91</x:v>
      </x:c>
      <x:c r="C41" s="25" t="str">
        <x:f>IF(B41&gt;=80,"A",IF(B41&gt;=65,"B","C"))</x:f>
        <x:v>A</x:v>
      </x:c>
      <x:c r="D41" s="23" t="str">
        <x:v>Journalist</x:v>
      </x:c>
      <x:c r="E41" s="23" t="str">
        <x:v>Axios Denver</x:v>
      </x:c>
      <x:c r="F41" s="23" t="str">
        <x:v>Alayna Alvarez / local newsroom</x:v>
      </x:c>
      <x:c r="G41" s="23" t="str">
        <x:v>Denver's biggest wage theft cases revealed</x:v>
      </x:c>
      <x:c r="H41" s="23" t="str">
        <x:v>https://www.axios.com/local/denver/2025/11/06/denver-businesses-wage-theft-audit-report</x:v>
      </x:c>
      <x:c r="I41" s="23" t="str">
        <x:v>https://www.axios.com/contact</x:v>
      </x:c>
      <x:c r="J41" s="23" t="str">
        <x:v>Colorado</x:v>
      </x:c>
      <x:c r="K41" s="23" t="str">
        <x:v>Reported a data-led local wage-theft story with charts.</x:v>
      </x:c>
      <x:c r="L41" s="23" t="str">
        <x:v>Offer a Colorado-vs-national final-pay chart for future enforcement coverage.</x:v>
      </x:c>
      <x:c r="M41" s="23" t="str">
        <x:v>Dataset + Colorado cut</x:v>
      </x:c>
      <x:c r="N41" s="23" t="str">
        <x:v>The story already visualized restitution; a state deadline comparison is a natural follow-up service element.</x:v>
      </x:c>
      <x:c r="O41" s="27" t="n">
        <x:v>5</x:v>
      </x:c>
      <x:c r="P41" s="27" t="n">
        <x:v>5</x:v>
      </x:c>
      <x:c r="Q41" s="27" t="n">
        <x:v>5</x:v>
      </x:c>
      <x:c r="R41" s="27" t="n">
        <x:v>3</x:v>
      </x:c>
      <x:c r="S41" s="27" t="n">
        <x:v>4</x:v>
      </x:c>
      <x:c r="T41" s="23" t="str">
        <x:v>Not Contacted</x:v>
      </x:c>
      <x:c r="U41" s="23" t="str"/>
      <x:c r="V41" s="28"/>
      <x:c r="W41" s="28"/>
      <x:c r="X41" s="23" t="str"/>
      <x:c r="Y41" s="23" t="str"/>
      <x:c r="Z41" s="28" t="n">
        <x:v>46236</x:v>
      </x:c>
    </x:row>
  </x:sheetData>
  <x:mergeCells>
    <x:mergeCell ref="A1:Z2"/>
    <x:mergeCell ref="A4:Z4"/>
  </x:mergeCells>
  <x:conditionalFormatting sqref="B7:B4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C7:C41">
    <x:cfRule type="containsText" dxfId="0" priority="2" operator="containsText" text="A"/>
  </x:conditionalFormatting>
  <x:conditionalFormatting sqref="T7:T41">
    <x:cfRule type="containsText" dxfId="1" priority="3" operator="containsText" text="Linked"/>
  </x:conditionalFormatting>
  <x:dataValidations count="2">
    <x:dataValidation type="list" sqref="T7:T41">
      <x:formula1>"Not Contacted,Ready,Sent,Follow-up,Replied,Linked,Declined,Do Not Contact"</x:formula1>
    </x:dataValidation>
    <x:dataValidation type="list" sqref="U7:U41">
      <x:formula1>",Jaspal,Codex prep"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0f959e015444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48" hidden="0" customWidth="1"/>
    <x:col min="5" max="5" width="72" hidden="0" customWidth="1"/>
    <x:col min="6" max="6" width="54" hidden="0" customWidth="1"/>
    <x:col min="7" max="7" width="35" hidden="0" customWidth="1"/>
    <x:col min="8" max="8" width="14" hidden="0" customWidth="1"/>
  </x:cols>
  <x:sheetData>
    <x:row r="1" ht="50" customHeight="1">
      <x:c r="A1" s="4" t="str">
        <x:v>Personalized Outreach Drafts
Fifteen ready-to-review messages. Nothing has been sent.</x:v>
      </x:c>
      <x:c r="B1" s="4"/>
      <x:c r="C1" s="4"/>
      <x:c r="D1" s="4"/>
      <x:c r="E1" s="4"/>
      <x:c r="F1" s="4"/>
      <x:c r="G1" s="4"/>
      <x:c r="H1" s="4"/>
    </x:row>
    <x:row r="2" ht="5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8" t="str">
        <x:v>Use one message at a time. Confirm the named page is still live, add your real signature, and never imply a legal or academic endorsement.</x:v>
      </x:c>
      <x:c r="B4" s="18"/>
      <x:c r="C4" s="18"/>
      <x:c r="D4" s="18"/>
      <x:c r="E4" s="18"/>
      <x:c r="F4" s="18"/>
      <x:c r="G4" s="18"/>
      <x:c r="H4" s="18"/>
    </x:row>
    <x:row r="6" ht="34" customHeight="1">
      <x:c r="A6" s="9" t="str">
        <x:v>Prospect ID</x:v>
      </x:c>
      <x:c r="B6" s="9" t="str">
        <x:v>Organization</x:v>
      </x:c>
      <x:c r="C6" s="9" t="str">
        <x:v>Subject</x:v>
      </x:c>
      <x:c r="D6" s="9" t="str">
        <x:v>Personalized opening</x:v>
      </x:c>
      <x:c r="E6" s="9" t="str">
        <x:v>Email body</x:v>
      </x:c>
      <x:c r="F6" s="9" t="str">
        <x:v>Follow-up after 7 days</x:v>
      </x:c>
      <x:c r="G6" s="9" t="str">
        <x:v>CTA</x:v>
      </x:c>
      <x:c r="H6" s="9" t="str">
        <x:v>Status</x:v>
      </x:c>
    </x:row>
    <x:row r="7">
      <x:c r="A7" s="23" t="n">
        <x:v>1</x:v>
      </x:c>
      <x:c r="B7" s="23" t="str">
        <x:v>FindLaw</x:v>
      </x:c>
      <x:c r="C7" s="23" t="str">
        <x:v>Source-linked 50-state final-pay dataset for Final Paycheck Laws by State</x:v>
      </x:c>
      <x:c r="D7" s="23" t="str">
        <x:v>Your state chart is one of the clearest national references; our source-linked CSV can give readers a reusable companion.</x:v>
      </x:c>
      <x:c r="E7" s="23" t="str">
        <x:v>Hi Bridget Molitor,
Your state chart is one of the clearest national references; our source-linked CSV can give readers a reusable companion.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https://www.findlaw.com/smallbusiness/employment-law-and-human-resources/final-paycheck-laws-by-state.html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7" s="23" t="str">
        <x:v>Hi — one quick follow-up on the 51-jurisdiction final-pay dataset below. If it is not a fit for FindLaw, no reply is needed. If a smaller state or regional cut would help, I can prepare it.</x:v>
      </x:c>
      <x:c r="G7" s="23" t="str">
        <x:v>Consider a contextual citation or request a custom cut.</x:v>
      </x:c>
      <x:c r="H7" s="23" t="str">
        <x:v>Ready</x:v>
      </x:c>
    </x:row>
    <x:row r="8">
      <x:c r="A8" s="23" t="n">
        <x:v>2</x:v>
      </x:c>
      <x:c r="B8" s="23" t="str">
        <x:v>Nolo</x:v>
      </x:c>
      <x:c r="C8" s="23" t="str">
        <x:v>Source-linked 50-state final-pay dataset for Final Paychecks, Benefits &amp; Paperwork</x:v>
      </x:c>
      <x:c r="D8" s="23" t="str">
        <x:v>The collection already answers worker questions; the 51-jurisdiction source table adds a national comparison without duplicating Nolo's guidance.</x:v>
      </x:c>
      <x:c r="E8" s="23" t="str">
        <x:v>Hi Aaron Hotfelder,
The collection already answers worker questions; the 51-jurisdiction source table adds a national comparison without duplicating Nolo's guidance.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https://www.nolo.com/legal-encyclopedia/final-paychecks-benefits-paperwork/all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8" s="23" t="str">
        <x:v>Hi — one quick follow-up on the 51-jurisdiction final-pay dataset below. If it is not a fit for Nolo, no reply is needed. If a smaller state or regional cut would help, I can prepare it.</x:v>
      </x:c>
      <x:c r="G8" s="23" t="str">
        <x:v>Consider a contextual citation or request a custom cut.</x:v>
      </x:c>
      <x:c r="H8" s="23" t="str">
        <x:v>Ready</x:v>
      </x:c>
    </x:row>
    <x:row r="9">
      <x:c r="A9" s="23" t="n">
        <x:v>3</x:v>
      </x:c>
      <x:c r="B9" s="23" t="str">
        <x:v>LawInfo</x:v>
      </x:c>
      <x:c r="C9" s="23" t="str">
        <x:v>Source-linked 50-state final-pay dataset for Final Paycheck Rules by State</x:v>
      </x:c>
      <x:c r="D9" s="23" t="str">
        <x:v>Your table and ours address the same worker question; ours adds a permanent CSV and agency URL in every row.</x:v>
      </x:c>
      <x:c r="E9" s="23" t="str">
        <x:v>Hi Consumer legal content editors,
Your table and ours address the same worker question; ours adds a permanent CSV and agency URL in every row.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https://www.lawinfo.com/resources/wages/final-paycheck-rules-by-state.html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9" s="23" t="str">
        <x:v>Hi — one quick follow-up on the 51-jurisdiction final-pay dataset below. If it is not a fit for LawInfo, no reply is needed. If a smaller state or regional cut would help, I can prepare it.</x:v>
      </x:c>
      <x:c r="G9" s="23" t="str">
        <x:v>Consider a contextual citation or request a custom cut.</x:v>
      </x:c>
      <x:c r="H9" s="23" t="str">
        <x:v>Ready</x:v>
      </x:c>
    </x:row>
    <x:row r="10">
      <x:c r="A10" s="23" t="n">
        <x:v>4</x:v>
      </x:c>
      <x:c r="B10" s="23" t="str">
        <x:v>Fit Small Business</x:v>
      </x:c>
      <x:c r="C10" s="23" t="str">
        <x:v>Source-linked 50-state final-pay dataset for Final Paycheck Laws by State: What Employers Should Know</x:v>
      </x:c>
      <x:c r="D10" s="23" t="str">
        <x:v>The article's older update date creates a concrete refresh opportunity; the new dataset supplies official links and reusable analysis.</x:v>
      </x:c>
      <x:c r="E10" s="23" t="str">
        <x:v>Hi Jennifer Soper,
The article's older update date creates a concrete refresh opportunity; the new dataset supplies official links and reusable analysis.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https://fitsmallbusiness.com/final-paycheck-laws/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0" s="23" t="str">
        <x:v>Hi — one quick follow-up on the 51-jurisdiction final-pay dataset below. If it is not a fit for Fit Small Business, no reply is needed. If a smaller state or regional cut would help, I can prepare it.</x:v>
      </x:c>
      <x:c r="G10" s="23" t="str">
        <x:v>Consider a contextual citation or request a custom cut.</x:v>
      </x:c>
      <x:c r="H10" s="23" t="str">
        <x:v>Ready</x:v>
      </x:c>
    </x:row>
    <x:row r="11">
      <x:c r="A11" s="23" t="n">
        <x:v>5</x:v>
      </x:c>
      <x:c r="B11" s="23" t="str">
        <x:v>Lattice</x:v>
      </x:c>
      <x:c r="C11" s="23" t="str">
        <x:v>Source-linked 50-state final-pay dataset for Last Paycheck Laws by State 2025</x:v>
      </x:c>
      <x:c r="D11" s="23" t="str">
        <x:v>Because the table is adapted from another publisher, a direct agency-linked compilation could strengthen its sourcing.</x:v>
      </x:c>
      <x:c r="E11" s="23" t="str">
        <x:v>Hi People strategy editorial team,
Because the table is adapted from another publisher, a direct agency-linked compilation could strengthen its sourcing.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https://lattice.com/articles/last-paycheck-laws-by-state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1" s="23" t="str">
        <x:v>Hi — one quick follow-up on the 51-jurisdiction final-pay dataset below. If it is not a fit for Lattice, no reply is needed. If a smaller state or regional cut would help, I can prepare it.</x:v>
      </x:c>
      <x:c r="G11" s="23" t="str">
        <x:v>Consider a contextual citation or request a custom cut.</x:v>
      </x:c>
      <x:c r="H11" s="23" t="str">
        <x:v>Ready</x:v>
      </x:c>
    </x:row>
    <x:row r="12">
      <x:c r="A12" s="23" t="n">
        <x:v>15</x:v>
      </x:c>
      <x:c r="B12" s="23" t="str">
        <x:v>Vaught Firm</x:v>
      </x:c>
      <x:c r="C12" s="23" t="str">
        <x:v>Source-linked 50-state final-pay dataset for Final Paycheck and Payroll Laws</x:v>
      </x:c>
      <x:c r="D12" s="23" t="str">
        <x:v>Your page naturally introduces interstate variation before focusing on Texas—the ideal contextual citation point.</x:v>
      </x:c>
      <x:c r="E12" s="23" t="str">
        <x:v>Hi A. Vaught, employment attorney,
Your page naturally introduces interstate variation before focusing on Texas—the ideal contextual citation point.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https://txlaborlaw.com/last-paycheck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2" s="23" t="str">
        <x:v>Hi — one quick follow-up on the 51-jurisdiction final-pay dataset below. If it is not a fit for Vaught Firm, no reply is needed. If a smaller state or regional cut would help, I can prepare it.</x:v>
      </x:c>
      <x:c r="G12" s="23" t="str">
        <x:v>Consider a contextual citation or request a custom cut.</x:v>
      </x:c>
      <x:c r="H12" s="23" t="str">
        <x:v>Ready</x:v>
      </x:c>
    </x:row>
    <x:row r="13">
      <x:c r="A13" s="23" t="n">
        <x:v>17</x:v>
      </x:c>
      <x:c r="B13" s="23" t="str">
        <x:v>Gordon Law Group</x:v>
      </x:c>
      <x:c r="C13" s="23" t="str">
        <x:v>Source-linked 50-state final-pay dataset for Timing of Payments and the Final Paycheck</x:v>
      </x:c>
      <x:c r="D13" s="23" t="str">
        <x:v>The distribution chart shows how unusual Massachusetts' timing is without replacing the firm's state-specific legal analysis.</x:v>
      </x:c>
      <x:c r="E13" s="23" t="str">
        <x:v>Hi Employment-law editorial team,
The distribution chart shows how unusual Massachusetts' timing is without replacing the firm's state-specific legal analysis.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https://www.gordonllp.com/employment-law/unpaid-wages-overtime/timing-of-payments/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3" s="23" t="str">
        <x:v>Hi — one quick follow-up on the 51-jurisdiction final-pay dataset below. If it is not a fit for Gordon Law Group, no reply is needed. If a smaller state or regional cut would help, I can prepare it.</x:v>
      </x:c>
      <x:c r="G13" s="23" t="str">
        <x:v>Consider a contextual citation or request a custom cut.</x:v>
      </x:c>
      <x:c r="H13" s="23" t="str">
        <x:v>Ready</x:v>
      </x:c>
    </x:row>
    <x:row r="14">
      <x:c r="A14" s="23" t="n">
        <x:v>20</x:v>
      </x:c>
      <x:c r="B14" s="23" t="str">
        <x:v>Workplace Fairness</x:v>
      </x:c>
      <x:c r="C14" s="23" t="str">
        <x:v>Source-linked 50-state final-pay dataset for Unpaid Wages / Wage &amp; Hour Problems</x:v>
      </x:c>
      <x:c r="D14" s="23" t="str">
        <x:v>The hub has an exact final-paycheck slot; our resource is free, source-linked, downloadable, and built for workers.</x:v>
      </x:c>
      <x:c r="E14" s="23" t="str">
        <x:v>Hi Wage-and-hour content team,
The hub has an exact final-paycheck slot; our resource is free, source-linked, downloadable, and built for workers.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https://www.workplacefairness.org/payhours/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4" s="23" t="str">
        <x:v>Hi — one quick follow-up on the 51-jurisdiction final-pay dataset below. If it is not a fit for Workplace Fairness, no reply is needed. If a smaller state or regional cut would help, I can prepare it.</x:v>
      </x:c>
      <x:c r="G14" s="23" t="str">
        <x:v>Consider a contextual citation or request a custom cut.</x:v>
      </x:c>
      <x:c r="H14" s="23" t="str">
        <x:v>Ready</x:v>
      </x:c>
    </x:row>
    <x:row r="15">
      <x:c r="A15" s="23" t="n">
        <x:v>21</x:v>
      </x:c>
      <x:c r="B15" s="23" t="str">
        <x:v>Legal Aid at Work</x:v>
      </x:c>
      <x:c r="C15" s="23" t="str">
        <x:v>Source-linked 50-state final-pay dataset for Your Right to Get Paid in Full When Your Job Ends</x:v>
      </x:c>
      <x:c r="D15" s="23" t="str">
        <x:v>The fact sheet is California-specific; one neutral link can route interstate questions without changing its advice.</x:v>
      </x:c>
      <x:c r="E15" s="23" t="str">
        <x:v>Hi Wage Protection program,
The fact sheet is California-specific; one neutral link can route interstate questions without changing its advice.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https://legalaidatwork.org/factsheet/your-right-to-get-paid-in-full-when-your-job-ends/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5" s="23" t="str">
        <x:v>Hi — one quick follow-up on the 51-jurisdiction final-pay dataset below. If it is not a fit for Legal Aid at Work, no reply is needed. If a smaller state or regional cut would help, I can prepare it.</x:v>
      </x:c>
      <x:c r="G15" s="23" t="str">
        <x:v>Consider a contextual citation or request a custom cut.</x:v>
      </x:c>
      <x:c r="H15" s="23" t="str">
        <x:v>Ready</x:v>
      </x:c>
    </x:row>
    <x:row r="16">
      <x:c r="A16" s="23" t="n">
        <x:v>22</x:v>
      </x:c>
      <x:c r="B16" s="23" t="str">
        <x:v>National Employment Law Project</x:v>
      </x:c>
      <x:c r="C16" s="23" t="str">
        <x:v>Source-linked 50-state final-pay dataset for Enforcing Labor Laws</x:v>
      </x:c>
      <x:c r="D16" s="23" t="str">
        <x:v>The dataset can be sliced by region for enforcement partners and is licensed for adaptation with attribution.</x:v>
      </x:c>
      <x:c r="E16" s="23" t="str">
        <x:v>Hi Emily Orlich,
The dataset can be sliced by region for enforcement partners and is licensed for adaptation with attribution.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https://www.nelp.org/explore-the-issues/enforcing-labor-laws/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6" s="23" t="str">
        <x:v>Hi — one quick follow-up on the 51-jurisdiction final-pay dataset below. If it is not a fit for National Employment Law Project, no reply is needed. If a smaller state or regional cut would help, I can prepare it.</x:v>
      </x:c>
      <x:c r="G16" s="23" t="str">
        <x:v>Consider a contextual citation or request a custom cut.</x:v>
      </x:c>
      <x:c r="H16" s="23" t="str">
        <x:v>Ready</x:v>
      </x:c>
    </x:row>
    <x:row r="17">
      <x:c r="A17" s="23" t="n">
        <x:v>25</x:v>
      </x:c>
      <x:c r="B17" s="23" t="str">
        <x:v>AFL-CIO</x:v>
      </x:c>
      <x:c r="C17" s="23" t="str">
        <x:v>Source-linked 50-state final-pay dataset for Your Rights at Work</x:v>
      </x:c>
      <x:c r="D17" s="23" t="str">
        <x:v>The guide already routes workers to DOL; our state comparison fills the final-pay timing gap with official agency links.</x:v>
      </x:c>
      <x:c r="E17" s="23" t="str">
        <x:v>Hi Press office,
The guide already routes workers to DOL; our state comparison fills the final-pay timing gap with official agency links.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https://aflcio.org/reports/your-rights-work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7" s="23" t="str">
        <x:v>Hi — one quick follow-up on the 51-jurisdiction final-pay dataset below. If it is not a fit for AFL-CIO, no reply is needed. If a smaller state or regional cut would help, I can prepare it.</x:v>
      </x:c>
      <x:c r="G17" s="23" t="str">
        <x:v>Consider a contextual citation or request a custom cut.</x:v>
      </x:c>
      <x:c r="H17" s="23" t="str">
        <x:v>Ready</x:v>
      </x:c>
    </x:row>
    <x:row r="18">
      <x:c r="A18" s="23" t="n">
        <x:v>27</x:v>
      </x:c>
      <x:c r="B18" s="23" t="str">
        <x:v>University of Washington School of Law</x:v>
      </x:c>
      <x:c r="C18" s="23" t="str">
        <x:v>Source-linked 50-state final-pay dataset for Workers' Rights Clinic</x:v>
      </x:c>
      <x:c r="D18" s="23" t="str">
        <x:v>The clinic's interviews often begin with issue spotting; the state lookup is a compact teaching and referral aid.</x:v>
      </x:c>
      <x:c r="E18" s="23" t="str">
        <x:v>Hi Liz Ford, Workers' Rights Clinic director,
The clinic's interviews often begin with issue spotting; the state lookup is a compact teaching and referral aid.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https://www.law.uw.edu/academics/experiential-learning/clinics/workers-rights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8" s="23" t="str">
        <x:v>Hi — one quick follow-up on the 51-jurisdiction final-pay dataset below. If it is not a fit for University of Washington School of Law, no reply is needed. If a smaller state or regional cut would help, I can prepare it.</x:v>
      </x:c>
      <x:c r="G18" s="23" t="str">
        <x:v>Consider a contextual citation or request a custom cut.</x:v>
      </x:c>
      <x:c r="H18" s="23" t="str">
        <x:v>Ready</x:v>
      </x:c>
    </x:row>
    <x:row r="19">
      <x:c r="A19" s="23" t="n">
        <x:v>31</x:v>
      </x:c>
      <x:c r="B19" s="23" t="str">
        <x:v>Axios Austin</x:v>
      </x:c>
      <x:c r="C19" s="23" t="str">
        <x:v>Source-linked 50-state final-pay dataset for Texas workers are owed $11 million in back pay</x:v>
      </x:c>
      <x:c r="D19" s="23" t="str">
        <x:v>Your back-pay story showed where money goes missing; the dataset adds when Texas final pay is due compared with other states.</x:v>
      </x:c>
      <x:c r="E19" s="23" t="str">
        <x:v>Hi Asher Price,
Your back-pay story showed where money goes missing; the dataset adds when Texas final pay is due compared with other states.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https://www.axios.com/local/austin/2024/12/11/texas-workers-backpay-claim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19" s="23" t="str">
        <x:v>Hi — one quick follow-up on the 51-jurisdiction final-pay dataset below. If it is not a fit for Axios Austin, no reply is needed. If a smaller state or regional cut would help, I can prepare it.</x:v>
      </x:c>
      <x:c r="G19" s="23" t="str">
        <x:v>Consider a contextual citation or request a custom cut.</x:v>
      </x:c>
      <x:c r="H19" s="23" t="str">
        <x:v>Ready</x:v>
      </x:c>
    </x:row>
    <x:row r="20">
      <x:c r="A20" s="23" t="n">
        <x:v>32</x:v>
      </x:c>
      <x:c r="B20" s="23" t="str">
        <x:v>Axios Markets</x:v>
      </x:c>
      <x:c r="C20" s="23" t="str">
        <x:v>Source-linked 50-state final-pay dataset for Hourly workers in California report high levels of wage theft</x:v>
      </x:c>
      <x:c r="D20" s="23" t="str">
        <x:v>Your piece noted the lack of good wage-theft data; this is a narrow, transparent dataset suitable for a quick visual.</x:v>
      </x:c>
      <x:c r="E20" s="23" t="str">
        <x:v>Hi Emily Peck,
Your piece noted the lack of good wage-theft data; this is a narrow, transparent dataset suitable for a quick visual.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https://www.axios.com/2024/05/23/california-wage-theft-hourly-workers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20" s="23" t="str">
        <x:v>Hi — one quick follow-up on the 51-jurisdiction final-pay dataset below. If it is not a fit for Axios Markets, no reply is needed. If a smaller state or regional cut would help, I can prepare it.</x:v>
      </x:c>
      <x:c r="G20" s="23" t="str">
        <x:v>Consider a contextual citation or request a custom cut.</x:v>
      </x:c>
      <x:c r="H20" s="23" t="str">
        <x:v>Ready</x:v>
      </x:c>
    </x:row>
    <x:row r="21">
      <x:c r="A21" s="23" t="n">
        <x:v>33</x:v>
      </x:c>
      <x:c r="B21" s="23" t="str">
        <x:v>CalMatters</x:v>
      </x:c>
      <x:c r="C21" s="23" t="str">
        <x:v>Source-linked 50-state final-pay dataset for When employers steal wages from workers</x:v>
      </x:c>
      <x:c r="D21" s="23" t="str">
        <x:v>The explainer already uses interactive data; our national timing comparison adds a precise separation-pay angle.</x:v>
      </x:c>
      <x:c r="E21" s="23" t="str">
        <x:v>Hi Jeanne Kuang,
The explainer already uses interactive data; our national timing comparison adds a precise separation-pay angle.
We have published a free My Pay Rights comparison covering all 50 states plus DC, with the termination and resignation deadline separated, an official agency link in every row, a permanent CSV, and a transparent classification chart. The compilation is reusable under CC BY 4.0.
I thought it could support this page: https://calmatters.org/explainers/when-employers-steal-wages-from-workers/
Research: https://mypayrights.com/research/us-final-paycheck-laws
CSV: https://mypayrights.com/research/us-final-paycheck-laws.csv
Would you consider citing it where readers need a state-by-state source or downloadable companion? I can also prepare a state or regional extract if that is more useful.
Best,
Jaspal Singh
My Pay Rights</x:v>
      </x:c>
      <x:c r="F21" s="23" t="str">
        <x:v>Hi — one quick follow-up on the 51-jurisdiction final-pay dataset below. If it is not a fit for CalMatters, no reply is needed. If a smaller state or regional cut would help, I can prepare it.</x:v>
      </x:c>
      <x:c r="G21" s="23" t="str">
        <x:v>Consider a contextual citation or request a custom cut.</x:v>
      </x:c>
      <x:c r="H21" s="23" t="str">
        <x:v>Ready</x:v>
      </x:c>
    </x:row>
  </x:sheetData>
  <x:mergeCells>
    <x:mergeCell ref="A1:H2"/>
    <x:mergeCell ref="A4:H4"/>
  </x:mergeCells>
  <x:dataValidations count="1">
    <x:dataValidation type="list" sqref="H7:H21">
      <x:formula1>"Ready,Approved,Sent,Needs edit,Do not send"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  <x:col min="13" max="13" width="2" hidden="0" customWidth="1"/>
  </x:cols>
  <x:sheetData>
    <x:row r="1" ht="50" customHeight="1">
      <x:c r="A1" s="4" t="str">
        <x:v>Backlink Monitoring
Enter one monthly snapshot from Search Console, analytics, and the outreach log. Formula cells update automatically.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5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30" t="str">
        <x:v>Input cells are pale yellow. Search Console link data can lag; use the same source and collection day each month for comparable trends.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6" ht="34" customHeight="1">
      <x:c r="A6" s="9" t="str">
        <x:v>Month</x:v>
      </x:c>
      <x:c r="B6" s="9" t="str">
        <x:v>GSC external links</x:v>
      </x:c>
      <x:c r="C6" s="9" t="str">
        <x:v>Referring domains</x:v>
      </x:c>
      <x:c r="D6" s="9" t="str">
        <x:v>Referral sessions</x:v>
      </x:c>
      <x:c r="E6" s="9" t="str">
        <x:v>Research-page sessions</x:v>
      </x:c>
      <x:c r="F6" s="9" t="str">
        <x:v>Outreach sent</x:v>
      </x:c>
      <x:c r="G6" s="9" t="str">
        <x:v>Replies</x:v>
      </x:c>
      <x:c r="H6" s="9" t="str">
        <x:v>Links won</x:v>
      </x:c>
      <x:c r="I6" s="9" t="str">
        <x:v>Lost links</x:v>
      </x:c>
      <x:c r="J6" s="9" t="str">
        <x:v>Reply rate</x:v>
      </x:c>
      <x:c r="K6" s="9" t="str">
        <x:v>Win rate</x:v>
      </x:c>
      <x:c r="L6" s="9" t="str">
        <x:v>Notes</x:v>
      </x:c>
    </x:row>
    <x:row r="7">
      <x:c r="A7" s="35" t="n">
        <x:v>46235</x:v>
      </x:c>
      <x:c r="B7" s="38"/>
      <x:c r="C7" s="38"/>
      <x:c r="D7" s="38"/>
      <x:c r="E7" s="38"/>
      <x:c r="F7" s="38"/>
      <x:c r="G7" s="38"/>
      <x:c r="H7" s="38"/>
      <x:c r="I7" s="38"/>
      <x:c r="J7" s="40" t="n">
        <x:f>IF(F7=0,0,G7/F7)</x:f>
        <x:v>0</x:v>
      </x:c>
      <x:c r="K7" s="40" t="n">
        <x:f>IF(F7=0,0,H7/F7)</x:f>
        <x:v>0</x:v>
      </x:c>
      <x:c r="L7" s="38" t="str"/>
      <x:c r="M7" s="41" t="str">
        <x:v>2026-08</x:v>
      </x:c>
    </x:row>
    <x:row r="8">
      <x:c r="A8" s="35" t="n">
        <x:v>46266</x:v>
      </x:c>
      <x:c r="B8" s="38"/>
      <x:c r="C8" s="38"/>
      <x:c r="D8" s="38"/>
      <x:c r="E8" s="38"/>
      <x:c r="F8" s="38"/>
      <x:c r="G8" s="38"/>
      <x:c r="H8" s="38"/>
      <x:c r="I8" s="38"/>
      <x:c r="J8" s="40" t="n">
        <x:f>IF(F8=0,0,G8/F8)</x:f>
        <x:v>0</x:v>
      </x:c>
      <x:c r="K8" s="40" t="n">
        <x:f>IF(F8=0,0,H8/F8)</x:f>
        <x:v>0</x:v>
      </x:c>
      <x:c r="L8" s="38" t="str"/>
      <x:c r="M8" s="41" t="str">
        <x:v>2026-09</x:v>
      </x:c>
    </x:row>
    <x:row r="9">
      <x:c r="A9" s="35" t="n">
        <x:v>46296</x:v>
      </x:c>
      <x:c r="B9" s="38"/>
      <x:c r="C9" s="38"/>
      <x:c r="D9" s="38"/>
      <x:c r="E9" s="38"/>
      <x:c r="F9" s="38"/>
      <x:c r="G9" s="38"/>
      <x:c r="H9" s="38"/>
      <x:c r="I9" s="38"/>
      <x:c r="J9" s="40" t="n">
        <x:f>IF(F9=0,0,G9/F9)</x:f>
        <x:v>0</x:v>
      </x:c>
      <x:c r="K9" s="40" t="n">
        <x:f>IF(F9=0,0,H9/F9)</x:f>
        <x:v>0</x:v>
      </x:c>
      <x:c r="L9" s="38" t="str"/>
      <x:c r="M9" s="41" t="str">
        <x:v>2026-10</x:v>
      </x:c>
    </x:row>
    <x:row r="10">
      <x:c r="A10" s="35" t="n">
        <x:v>46327</x:v>
      </x:c>
      <x:c r="B10" s="38"/>
      <x:c r="C10" s="38"/>
      <x:c r="D10" s="38"/>
      <x:c r="E10" s="38"/>
      <x:c r="F10" s="38"/>
      <x:c r="G10" s="38"/>
      <x:c r="H10" s="38"/>
      <x:c r="I10" s="38"/>
      <x:c r="J10" s="40" t="n">
        <x:f>IF(F10=0,0,G10/F10)</x:f>
        <x:v>0</x:v>
      </x:c>
      <x:c r="K10" s="40" t="n">
        <x:f>IF(F10=0,0,H10/F10)</x:f>
        <x:v>0</x:v>
      </x:c>
      <x:c r="L10" s="38" t="str"/>
      <x:c r="M10" s="41" t="str">
        <x:v>2026-11</x:v>
      </x:c>
    </x:row>
    <x:row r="11">
      <x:c r="A11" s="35" t="n">
        <x:v>46357</x:v>
      </x:c>
      <x:c r="B11" s="38"/>
      <x:c r="C11" s="38"/>
      <x:c r="D11" s="38"/>
      <x:c r="E11" s="38"/>
      <x:c r="F11" s="38"/>
      <x:c r="G11" s="38"/>
      <x:c r="H11" s="38"/>
      <x:c r="I11" s="38"/>
      <x:c r="J11" s="40" t="n">
        <x:f>IF(F11=0,0,G11/F11)</x:f>
        <x:v>0</x:v>
      </x:c>
      <x:c r="K11" s="40" t="n">
        <x:f>IF(F11=0,0,H11/F11)</x:f>
        <x:v>0</x:v>
      </x:c>
      <x:c r="L11" s="38" t="str"/>
      <x:c r="M11" s="41" t="str">
        <x:v>2026-12</x:v>
      </x:c>
    </x:row>
    <x:row r="12">
      <x:c r="A12" s="35" t="n">
        <x:v>46388</x:v>
      </x:c>
      <x:c r="B12" s="38"/>
      <x:c r="C12" s="38"/>
      <x:c r="D12" s="38"/>
      <x:c r="E12" s="38"/>
      <x:c r="F12" s="38"/>
      <x:c r="G12" s="38"/>
      <x:c r="H12" s="38"/>
      <x:c r="I12" s="38"/>
      <x:c r="J12" s="40" t="n">
        <x:f>IF(F12=0,0,G12/F12)</x:f>
        <x:v>0</x:v>
      </x:c>
      <x:c r="K12" s="40" t="n">
        <x:f>IF(F12=0,0,H12/F12)</x:f>
        <x:v>0</x:v>
      </x:c>
      <x:c r="L12" s="38" t="str"/>
      <x:c r="M12" s="41" t="str">
        <x:v>2027-01</x:v>
      </x:c>
    </x:row>
    <x:row r="13">
      <x:c r="A13" s="35" t="n">
        <x:v>46419</x:v>
      </x:c>
      <x:c r="B13" s="38"/>
      <x:c r="C13" s="38"/>
      <x:c r="D13" s="38"/>
      <x:c r="E13" s="38"/>
      <x:c r="F13" s="38"/>
      <x:c r="G13" s="38"/>
      <x:c r="H13" s="38"/>
      <x:c r="I13" s="38"/>
      <x:c r="J13" s="40" t="n">
        <x:f>IF(F13=0,0,G13/F13)</x:f>
        <x:v>0</x:v>
      </x:c>
      <x:c r="K13" s="40" t="n">
        <x:f>IF(F13=0,0,H13/F13)</x:f>
        <x:v>0</x:v>
      </x:c>
      <x:c r="L13" s="38" t="str"/>
      <x:c r="M13" s="41" t="str">
        <x:v>2027-02</x:v>
      </x:c>
    </x:row>
    <x:row r="14">
      <x:c r="A14" s="35" t="n">
        <x:v>46447</x:v>
      </x:c>
      <x:c r="B14" s="38"/>
      <x:c r="C14" s="38"/>
      <x:c r="D14" s="38"/>
      <x:c r="E14" s="38"/>
      <x:c r="F14" s="38"/>
      <x:c r="G14" s="38"/>
      <x:c r="H14" s="38"/>
      <x:c r="I14" s="38"/>
      <x:c r="J14" s="40" t="n">
        <x:f>IF(F14=0,0,G14/F14)</x:f>
        <x:v>0</x:v>
      </x:c>
      <x:c r="K14" s="40" t="n">
        <x:f>IF(F14=0,0,H14/F14)</x:f>
        <x:v>0</x:v>
      </x:c>
      <x:c r="L14" s="38" t="str"/>
      <x:c r="M14" s="41" t="str">
        <x:v>2027-03</x:v>
      </x:c>
    </x:row>
    <x:row r="15">
      <x:c r="A15" s="35" t="n">
        <x:v>46478</x:v>
      </x:c>
      <x:c r="B15" s="38"/>
      <x:c r="C15" s="38"/>
      <x:c r="D15" s="38"/>
      <x:c r="E15" s="38"/>
      <x:c r="F15" s="38"/>
      <x:c r="G15" s="38"/>
      <x:c r="H15" s="38"/>
      <x:c r="I15" s="38"/>
      <x:c r="J15" s="40" t="n">
        <x:f>IF(F15=0,0,G15/F15)</x:f>
        <x:v>0</x:v>
      </x:c>
      <x:c r="K15" s="40" t="n">
        <x:f>IF(F15=0,0,H15/F15)</x:f>
        <x:v>0</x:v>
      </x:c>
      <x:c r="L15" s="38" t="str"/>
      <x:c r="M15" s="41" t="str">
        <x:v>2027-04</x:v>
      </x:c>
    </x:row>
    <x:row r="16">
      <x:c r="A16" s="35" t="n">
        <x:v>46508</x:v>
      </x:c>
      <x:c r="B16" s="38"/>
      <x:c r="C16" s="38"/>
      <x:c r="D16" s="38"/>
      <x:c r="E16" s="38"/>
      <x:c r="F16" s="38"/>
      <x:c r="G16" s="38"/>
      <x:c r="H16" s="38"/>
      <x:c r="I16" s="38"/>
      <x:c r="J16" s="40" t="n">
        <x:f>IF(F16=0,0,G16/F16)</x:f>
        <x:v>0</x:v>
      </x:c>
      <x:c r="K16" s="40" t="n">
        <x:f>IF(F16=0,0,H16/F16)</x:f>
        <x:v>0</x:v>
      </x:c>
      <x:c r="L16" s="38" t="str"/>
      <x:c r="M16" s="41" t="str">
        <x:v>2027-05</x:v>
      </x:c>
    </x:row>
    <x:row r="17">
      <x:c r="A17" s="35" t="n">
        <x:v>46539</x:v>
      </x:c>
      <x:c r="B17" s="38"/>
      <x:c r="C17" s="38"/>
      <x:c r="D17" s="38"/>
      <x:c r="E17" s="38"/>
      <x:c r="F17" s="38"/>
      <x:c r="G17" s="38"/>
      <x:c r="H17" s="38"/>
      <x:c r="I17" s="38"/>
      <x:c r="J17" s="40" t="n">
        <x:f>IF(F17=0,0,G17/F17)</x:f>
        <x:v>0</x:v>
      </x:c>
      <x:c r="K17" s="40" t="n">
        <x:f>IF(F17=0,0,H17/F17)</x:f>
        <x:v>0</x:v>
      </x:c>
      <x:c r="L17" s="38" t="str"/>
      <x:c r="M17" s="41" t="str">
        <x:v>2027-06</x:v>
      </x:c>
    </x:row>
    <x:row r="18">
      <x:c r="A18" s="35" t="n">
        <x:v>46569</x:v>
      </x:c>
      <x:c r="B18" s="38"/>
      <x:c r="C18" s="38"/>
      <x:c r="D18" s="38"/>
      <x:c r="E18" s="38"/>
      <x:c r="F18" s="38"/>
      <x:c r="G18" s="38"/>
      <x:c r="H18" s="38"/>
      <x:c r="I18" s="38"/>
      <x:c r="J18" s="40" t="n">
        <x:f>IF(F18=0,0,G18/F18)</x:f>
        <x:v>0</x:v>
      </x:c>
      <x:c r="K18" s="40" t="n">
        <x:f>IF(F18=0,0,H18/F18)</x:f>
        <x:v>0</x:v>
      </x:c>
      <x:c r="L18" s="38" t="str"/>
      <x:c r="M18" s="41" t="str">
        <x:v>2027-07</x:v>
      </x:c>
    </x:row>
  </x:sheetData>
  <x:mergeCells>
    <x:mergeCell ref="A1:L2"/>
    <x:mergeCell ref="A4:L4"/>
  </x:mergeCells>
  <x:dataValidations count="1">
    <x:dataValidation type="whole" operator="greaterThanOrEqual" sqref="B7:I18">
      <x:formula1>0</x:formula1>
    </x:dataValidation>
  </x:dataValidations>
  <x:pageMargins left="0.7" right="0.7" top="0.75" bottom="0.75" header="0.3" footer="0.3"/>
  <x:drawing xmlns:r="http://schemas.openxmlformats.org/officeDocument/2006/relationships" r:id="R6065c9c2901547b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50" customHeight="1">
      <x:c r="A1" s="4" t="str">
        <x:v>Linkable Asset Brief
What to pitch, how to cite it, and what can be reused.</x:v>
      </x:c>
      <x:c r="B1" s="4"/>
      <x:c r="C1" s="4"/>
      <x:c r="D1" s="4"/>
      <x:c r="E1" s="4"/>
      <x:c r="F1" s="4"/>
      <x:c r="G1" s="4"/>
      <x:c r="H1" s="4"/>
    </x:row>
    <x:row r="2" ht="50" customHeight="1">
      <x:c r="A2" s="4"/>
      <x:c r="B2" s="4"/>
      <x:c r="C2" s="4"/>
      <x:c r="D2" s="4"/>
      <x:c r="E2" s="4"/>
      <x:c r="F2" s="4"/>
      <x:c r="G2" s="4"/>
      <x:c r="H2" s="4"/>
    </x:row>
    <x:row r="4" ht="34" customHeight="1">
      <x:c r="A4" s="9" t="str">
        <x:v>Asset field</x:v>
      </x:c>
      <x:c r="B4" s="9" t="str">
        <x:v>Details</x:v>
      </x:c>
      <x:c r="D4" s="9" t="str">
        <x:v>Pitch checklist</x:v>
      </x:c>
      <x:c r="E4" s="9"/>
      <x:c r="F4" s="9"/>
      <x:c r="G4" s="9"/>
      <x:c r="H4" s="9"/>
    </x:row>
    <x:row r="5">
      <x:c r="A5" s="42" t="str">
        <x:v>Canonical page</x:v>
      </x:c>
      <x:c r="B5" s="23" t="str">
        <x:v>https://mypayrights.com/research/us-final-paycheck-laws</x:v>
      </x:c>
      <x:c r="D5" s="46" t="str">
        <x:v>1. Mention the exact page you read.</x:v>
      </x:c>
      <x:c r="E5" s="46"/>
      <x:c r="F5" s="46"/>
      <x:c r="G5" s="46"/>
      <x:c r="H5" s="46"/>
    </x:row>
    <x:row r="6">
      <x:c r="A6" s="42" t="str">
        <x:v>Permanent CSV</x:v>
      </x:c>
      <x:c r="B6" s="23" t="str">
        <x:v>https://mypayrights.com/research/us-final-paycheck-laws.csv</x:v>
      </x:c>
      <x:c r="D6" s="46" t="str">
        <x:v>2. State one concrete gap the asset fills.</x:v>
      </x:c>
      <x:c r="E6" s="46"/>
      <x:c r="F6" s="46"/>
      <x:c r="G6" s="46"/>
      <x:c r="H6" s="46"/>
    </x:row>
    <x:row r="7">
      <x:c r="A7" s="42" t="str">
        <x:v>Coverage</x:v>
      </x:c>
      <x:c r="B7" s="23" t="str">
        <x:v>50 states plus Washington, DC (51 jurisdictions)</x:v>
      </x:c>
      <x:c r="D7" s="46" t="str">
        <x:v>3. Link the canonical page and CSV, not the homepage.</x:v>
      </x:c>
      <x:c r="E7" s="46"/>
      <x:c r="F7" s="46"/>
      <x:c r="G7" s="46"/>
      <x:c r="H7" s="46"/>
    </x:row>
    <x:row r="8">
      <x:c r="A8" s="42" t="str">
        <x:v>Core comparison</x:v>
      </x:c>
      <x:c r="B8" s="23" t="str">
        <x:v>Final-pay deadline after employer termination versus voluntary resignation</x:v>
      </x:c>
      <x:c r="D8" s="46" t="str">
        <x:v>4. Offer one tailored cut; do not attach files unsolicited.</x:v>
      </x:c>
      <x:c r="E8" s="46"/>
      <x:c r="F8" s="46"/>
      <x:c r="G8" s="46"/>
      <x:c r="H8" s="46"/>
    </x:row>
    <x:row r="9">
      <x:c r="A9" s="42" t="str">
        <x:v>Source transparency</x:v>
      </x:c>
      <x:c r="B9" s="23" t="str">
        <x:v>An official state labor authority URL in every row</x:v>
      </x:c>
      <x:c r="D9" s="46" t="str">
        <x:v>5. Ask for editorial consideration, never demand a link.</x:v>
      </x:c>
      <x:c r="E9" s="46"/>
      <x:c r="F9" s="46"/>
      <x:c r="G9" s="46"/>
      <x:c r="H9" s="46"/>
    </x:row>
    <x:row r="10">
      <x:c r="A10" s="42" t="str">
        <x:v>Analysis</x:v>
      </x:c>
      <x:c r="B10" s="23" t="str">
        <x:v>Computed findings and accessible deadline-distribution chart</x:v>
      </x:c>
      <x:c r="D10" s="46" t="str">
        <x:v>6. Follow up once after seven days.</x:v>
      </x:c>
      <x:c r="E10" s="46"/>
      <x:c r="F10" s="46"/>
      <x:c r="G10" s="46"/>
      <x:c r="H10" s="46"/>
    </x:row>
    <x:row r="11">
      <x:c r="A11" s="42" t="str">
        <x:v>Reuse</x:v>
      </x:c>
      <x:c r="B11" s="23" t="str">
        <x:v>CC BY 4.0 for the original compilation; attribution and link required</x:v>
      </x:c>
      <x:c r="D11" s="46" t="str">
        <x:v>7. Stop on decline or no response after two touches.</x:v>
      </x:c>
      <x:c r="E11" s="46"/>
      <x:c r="F11" s="46"/>
      <x:c r="G11" s="46"/>
      <x:c r="H11" s="46"/>
    </x:row>
    <x:row r="12">
      <x:c r="A12" s="42" t="str">
        <x:v>Suggested citation</x:v>
      </x:c>
      <x:c r="B12" s="23" t="str">
        <x:v>My Pay Rights, “US Final Paycheck Law Dataset — All 50 States + DC,” compiled 12 July 2026, https://mypayrights.com/research/us-final-paycheck-laws.</x:v>
      </x:c>
      <x:c r="D12" s="46" t="str">
        <x:v>8. Log outcome and referral traffic.</x:v>
      </x:c>
      <x:c r="E12" s="46"/>
      <x:c r="F12" s="46"/>
      <x:c r="G12" s="46"/>
      <x:c r="H12" s="46"/>
    </x:row>
    <x:row r="13">
      <x:c r="A13" s="42" t="str">
        <x:v>Editorial contact</x:v>
      </x:c>
      <x:c r="B13" s="23" t="str">
        <x:v>editorial@mypayrights.com</x:v>
      </x:c>
    </x:row>
    <x:row r="14">
      <x:c r="A14" s="42" t="str">
        <x:v>Best media angles</x:v>
      </x:c>
      <x:c r="B14" s="23" t="str">
        <x:v>Layoffs; remote workers; wage theft; payroll compliance; how resignation changes payment timing</x:v>
      </x:c>
    </x:row>
    <x:row r="15">
      <x:c r="A15" s="42" t="str">
        <x:v>Important limitation</x:v>
      </x:c>
      <x:c r="B15" s="23" t="str">
        <x:v>General information only. Verify the linked agency source and facts of the separation before relying on a row.</x:v>
      </x:c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14" hidden="0" customWidth="1"/>
  </x:cols>
  <x:sheetData>
    <x:row r="1" ht="50" customHeight="1">
      <x:c r="A1" s="4" t="str">
        <x:v>Lists &amp; Scoring
Reference values that drive consistent prioritization.</x:v>
      </x:c>
      <x:c r="B1" s="4"/>
      <x:c r="C1" s="4"/>
      <x:c r="D1" s="4"/>
      <x:c r="E1" s="4"/>
      <x:c r="F1" s="4"/>
    </x:row>
    <x:row r="2" ht="50" customHeight="1">
      <x:c r="A2" s="4"/>
      <x:c r="B2" s="4"/>
      <x:c r="C2" s="4"/>
      <x:c r="D2" s="4"/>
      <x:c r="E2" s="4"/>
      <x:c r="F2" s="4"/>
    </x:row>
    <x:row r="4" ht="34" customHeight="1">
      <x:c r="A4" s="9" t="str">
        <x:v>Scoring input</x:v>
      </x:c>
      <x:c r="B4" s="9" t="str">
        <x:v>Weight</x:v>
      </x:c>
      <x:c r="D4" s="9" t="str">
        <x:v>Score band</x:v>
      </x:c>
      <x:c r="E4" s="9" t="str">
        <x:v>Priority</x:v>
      </x:c>
    </x:row>
    <x:row r="5">
      <x:c r="A5" s="10" t="str">
        <x:v>Relevance</x:v>
      </x:c>
      <x:c r="B5" s="48" t="n">
        <x:v>0.3</x:v>
      </x:c>
      <x:c r="D5" s="10" t="str">
        <x:v>&gt;= 80</x:v>
      </x:c>
      <x:c r="E5" s="10" t="str">
        <x:v>A</x:v>
      </x:c>
    </x:row>
    <x:row r="6">
      <x:c r="A6" s="10" t="str">
        <x:v>Authority fit</x:v>
      </x:c>
      <x:c r="B6" s="48" t="n">
        <x:v>0.2</x:v>
      </x:c>
      <x:c r="D6" s="10" t="str">
        <x:v>65–79</x:v>
      </x:c>
      <x:c r="E6" s="10" t="str">
        <x:v>B</x:v>
      </x:c>
    </x:row>
    <x:row r="7">
      <x:c r="A7" s="10" t="str">
        <x:v>Linkability</x:v>
      </x:c>
      <x:c r="B7" s="48" t="n">
        <x:v>0.2</x:v>
      </x:c>
      <x:c r="D7" s="10" t="str">
        <x:v>&lt; 65</x:v>
      </x:c>
      <x:c r="E7" s="10" t="str">
        <x:v>C</x:v>
      </x:c>
    </x:row>
    <x:row r="8">
      <x:c r="A8" s="10" t="str">
        <x:v>Contactability</x:v>
      </x:c>
      <x:c r="B8" s="48" t="n">
        <x:v>0.15</x:v>
      </x:c>
    </x:row>
    <x:row r="9">
      <x:c r="A9" s="10" t="str">
        <x:v>Freshness gap</x:v>
      </x:c>
      <x:c r="B9" s="48" t="n">
        <x:v>0.15</x:v>
      </x:c>
    </x:row>
    <x:row r="12">
      <x:c r="A12" s="18" t="str">
        <x:v>Scoring is directional, not a domain-authority substitute. A smaller worker center with an exact resource fit can outperform a large publisher with no realistic editorial route.</x:v>
      </x:c>
      <x:c r="B12" s="18"/>
      <x:c r="C12" s="18"/>
      <x:c r="D12" s="18"/>
      <x:c r="E12" s="18"/>
      <x:c r="F12" s="18"/>
    </x:row>
  </x:sheetData>
  <x:mergeCells>
    <x:mergeCell ref="A1:F2"/>
    <x:mergeCell ref="A12:F12"/>
  </x:mergeCells>
  <x:pageMargins left="0.7" right="0.7" top="0.75" bottom="0.75" header="0.3" footer="0.3"/>
</x:worksheet>
</file>